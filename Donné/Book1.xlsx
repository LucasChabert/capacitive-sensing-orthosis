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2D41D72-B3A4-4CC8-9650-4320D5CBB368}" xr6:coauthVersionLast="47" xr6:coauthVersionMax="47" xr10:uidLastSave="{00000000-0000-0000-0000-000000000000}"/>
  <bookViews>
    <workbookView xWindow="2268" yWindow="2328" windowWidth="17280" windowHeight="8976" xr2:uid="{EEEFC58F-7EA2-451A-9A53-CFDF5F211B26}"/>
  </bookViews>
  <sheets>
    <sheet name="Sheet1" sheetId="1" r:id="rId1"/>
  </sheets>
  <definedNames>
    <definedName name="solver_adj" localSheetId="0" hidden="1">Sheet1!$O$2:$P$2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Sheet1!$O$2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Sheet1!$N$2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hs1" localSheetId="0" hidden="1">0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3" i="1" l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2" i="1"/>
  <c r="AI3" i="1"/>
  <c r="AI4" i="1"/>
  <c r="AI5" i="1"/>
  <c r="AI6" i="1"/>
  <c r="AI7" i="1"/>
  <c r="AI8" i="1"/>
  <c r="AI9" i="1"/>
  <c r="AI10" i="1"/>
  <c r="AF10" i="1" s="1"/>
  <c r="AI11" i="1"/>
  <c r="AI12" i="1"/>
  <c r="AI13" i="1"/>
  <c r="AI14" i="1"/>
  <c r="AF14" i="1" s="1"/>
  <c r="AI15" i="1"/>
  <c r="AI16" i="1"/>
  <c r="AI17" i="1"/>
  <c r="AI18" i="1"/>
  <c r="AF18" i="1" s="1"/>
  <c r="AI19" i="1"/>
  <c r="AI20" i="1"/>
  <c r="AI21" i="1"/>
  <c r="AI22" i="1"/>
  <c r="AI23" i="1"/>
  <c r="AI24" i="1"/>
  <c r="AI25" i="1"/>
  <c r="AI26" i="1"/>
  <c r="AF26" i="1" s="1"/>
  <c r="AI27" i="1"/>
  <c r="AI28" i="1"/>
  <c r="AI29" i="1"/>
  <c r="AI30" i="1"/>
  <c r="AI31" i="1"/>
  <c r="AI32" i="1"/>
  <c r="AI2" i="1"/>
  <c r="AH3" i="1"/>
  <c r="AF3" i="1" s="1"/>
  <c r="AH4" i="1"/>
  <c r="AF4" i="1" s="1"/>
  <c r="AH5" i="1"/>
  <c r="AH6" i="1"/>
  <c r="AH7" i="1"/>
  <c r="AH8" i="1"/>
  <c r="AF8" i="1" s="1"/>
  <c r="AH9" i="1"/>
  <c r="AF9" i="1" s="1"/>
  <c r="AH10" i="1"/>
  <c r="AH11" i="1"/>
  <c r="AF11" i="1" s="1"/>
  <c r="AH12" i="1"/>
  <c r="AF12" i="1" s="1"/>
  <c r="AH13" i="1"/>
  <c r="AH14" i="1"/>
  <c r="AH15" i="1"/>
  <c r="AH16" i="1"/>
  <c r="AF16" i="1" s="1"/>
  <c r="AH17" i="1"/>
  <c r="AF17" i="1" s="1"/>
  <c r="AH18" i="1"/>
  <c r="AH19" i="1"/>
  <c r="AF19" i="1" s="1"/>
  <c r="AH20" i="1"/>
  <c r="AF20" i="1" s="1"/>
  <c r="AH21" i="1"/>
  <c r="AH22" i="1"/>
  <c r="AH23" i="1"/>
  <c r="AH24" i="1"/>
  <c r="AF24" i="1" s="1"/>
  <c r="AH25" i="1"/>
  <c r="AF25" i="1" s="1"/>
  <c r="AH26" i="1"/>
  <c r="AH27" i="1"/>
  <c r="AF27" i="1" s="1"/>
  <c r="AH28" i="1"/>
  <c r="AF28" i="1" s="1"/>
  <c r="AH29" i="1"/>
  <c r="AH30" i="1"/>
  <c r="AH31" i="1"/>
  <c r="AH32" i="1"/>
  <c r="AF32" i="1" s="1"/>
  <c r="AH2" i="1"/>
  <c r="AF5" i="1"/>
  <c r="AF6" i="1"/>
  <c r="AF13" i="1"/>
  <c r="AF21" i="1"/>
  <c r="AF22" i="1"/>
  <c r="AF29" i="1"/>
  <c r="AF30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Z2" i="1"/>
  <c r="Y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2" i="1"/>
  <c r="AF31" i="1" l="1"/>
  <c r="AF23" i="1"/>
  <c r="AF15" i="1"/>
  <c r="AF7" i="1"/>
  <c r="AF2" i="1"/>
  <c r="A19" i="1"/>
  <c r="B19" i="1" s="1"/>
  <c r="C19" i="1" s="1"/>
  <c r="M19" i="1" s="1"/>
  <c r="A3" i="1"/>
  <c r="B3" i="1" s="1"/>
  <c r="C3" i="1" s="1"/>
  <c r="M3" i="1" s="1"/>
  <c r="B18" i="1"/>
  <c r="C18" i="1" s="1"/>
  <c r="M18" i="1" s="1"/>
  <c r="B2" i="1"/>
  <c r="C2" i="1" s="1"/>
  <c r="M2" i="1" s="1"/>
  <c r="A20" i="1" l="1"/>
  <c r="B20" i="1" s="1"/>
  <c r="C20" i="1" s="1"/>
  <c r="M20" i="1" s="1"/>
  <c r="A4" i="1"/>
  <c r="A21" i="1" l="1"/>
  <c r="A22" i="1" s="1"/>
  <c r="B4" i="1"/>
  <c r="C4" i="1" s="1"/>
  <c r="M4" i="1" s="1"/>
  <c r="A5" i="1"/>
  <c r="B21" i="1" l="1"/>
  <c r="C21" i="1" s="1"/>
  <c r="M21" i="1" s="1"/>
  <c r="A6" i="1"/>
  <c r="B5" i="1"/>
  <c r="C5" i="1" s="1"/>
  <c r="M5" i="1" s="1"/>
  <c r="A23" i="1"/>
  <c r="B22" i="1"/>
  <c r="C22" i="1" s="1"/>
  <c r="M22" i="1" s="1"/>
  <c r="B6" i="1" l="1"/>
  <c r="C6" i="1" s="1"/>
  <c r="M6" i="1" s="1"/>
  <c r="A7" i="1"/>
  <c r="B23" i="1"/>
  <c r="C23" i="1" s="1"/>
  <c r="M23" i="1" s="1"/>
  <c r="A24" i="1"/>
  <c r="A8" i="1" l="1"/>
  <c r="B7" i="1"/>
  <c r="C7" i="1" s="1"/>
  <c r="M7" i="1" s="1"/>
  <c r="A25" i="1"/>
  <c r="B24" i="1"/>
  <c r="C24" i="1" s="1"/>
  <c r="M24" i="1" s="1"/>
  <c r="B8" i="1" l="1"/>
  <c r="C8" i="1" s="1"/>
  <c r="M8" i="1" s="1"/>
  <c r="A9" i="1"/>
  <c r="A26" i="1"/>
  <c r="B25" i="1"/>
  <c r="C25" i="1" s="1"/>
  <c r="M25" i="1" s="1"/>
  <c r="A10" i="1" l="1"/>
  <c r="B9" i="1"/>
  <c r="C9" i="1" s="1"/>
  <c r="M9" i="1" s="1"/>
  <c r="A27" i="1"/>
  <c r="B26" i="1"/>
  <c r="C26" i="1" s="1"/>
  <c r="M26" i="1" s="1"/>
  <c r="B10" i="1" l="1"/>
  <c r="C10" i="1" s="1"/>
  <c r="M10" i="1" s="1"/>
  <c r="A11" i="1"/>
  <c r="B27" i="1"/>
  <c r="C27" i="1" s="1"/>
  <c r="M27" i="1" s="1"/>
  <c r="A28" i="1"/>
  <c r="A12" i="1" l="1"/>
  <c r="B11" i="1"/>
  <c r="C11" i="1" s="1"/>
  <c r="M11" i="1" s="1"/>
  <c r="B28" i="1"/>
  <c r="C28" i="1" s="1"/>
  <c r="M28" i="1" s="1"/>
  <c r="A29" i="1"/>
  <c r="A13" i="1" l="1"/>
  <c r="B12" i="1"/>
  <c r="C12" i="1" s="1"/>
  <c r="M12" i="1" s="1"/>
  <c r="A30" i="1"/>
  <c r="B29" i="1"/>
  <c r="C29" i="1" s="1"/>
  <c r="M29" i="1" s="1"/>
  <c r="A14" i="1" l="1"/>
  <c r="B13" i="1"/>
  <c r="C13" i="1" s="1"/>
  <c r="M13" i="1" s="1"/>
  <c r="A31" i="1"/>
  <c r="B30" i="1"/>
  <c r="C30" i="1" s="1"/>
  <c r="M30" i="1" s="1"/>
  <c r="A15" i="1" l="1"/>
  <c r="B14" i="1"/>
  <c r="C14" i="1" s="1"/>
  <c r="M14" i="1" s="1"/>
  <c r="B31" i="1"/>
  <c r="C31" i="1" s="1"/>
  <c r="M31" i="1" s="1"/>
  <c r="A32" i="1"/>
  <c r="B32" i="1" s="1"/>
  <c r="C32" i="1" s="1"/>
  <c r="M32" i="1" s="1"/>
  <c r="B15" i="1" l="1"/>
  <c r="C15" i="1" s="1"/>
  <c r="M15" i="1" s="1"/>
  <c r="A16" i="1"/>
  <c r="B16" i="1" l="1"/>
  <c r="C16" i="1" s="1"/>
  <c r="M16" i="1" s="1"/>
  <c r="A17" i="1"/>
  <c r="B17" i="1" s="1"/>
  <c r="C17" i="1" s="1"/>
  <c r="M17" i="1" s="1"/>
  <c r="N2" i="1" l="1"/>
</calcChain>
</file>

<file path=xl/sharedStrings.xml><?xml version="1.0" encoding="utf-8"?>
<sst xmlns="http://schemas.openxmlformats.org/spreadsheetml/2006/main" count="31" uniqueCount="31">
  <si>
    <t>Tour</t>
  </si>
  <si>
    <t>distance_ref</t>
  </si>
  <si>
    <t>Distance_diminué</t>
  </si>
  <si>
    <t xml:space="preserve">d </t>
  </si>
  <si>
    <t>C1  pF</t>
  </si>
  <si>
    <t>C2 avec C1 pF</t>
  </si>
  <si>
    <t>Modele : d=K*C1</t>
  </si>
  <si>
    <t>K</t>
  </si>
  <si>
    <t>Erreur</t>
  </si>
  <si>
    <t>Somme erreur</t>
  </si>
  <si>
    <t>K1</t>
  </si>
  <si>
    <t>Capacité C2 sans C1 et C1 débranchépF</t>
  </si>
  <si>
    <t>C2 sans C1 et C1 branché</t>
  </si>
  <si>
    <t>Delta C2 1</t>
  </si>
  <si>
    <t>Delta C2 2</t>
  </si>
  <si>
    <t>C1 (2)</t>
  </si>
  <si>
    <t>C2 avce C1 (2)</t>
  </si>
  <si>
    <t>C2 avce C1 (3)</t>
  </si>
  <si>
    <t>C1(3)</t>
  </si>
  <si>
    <t>deltad/sE2</t>
  </si>
  <si>
    <t>C1</t>
  </si>
  <si>
    <t>C2</t>
  </si>
  <si>
    <t>1/C2</t>
  </si>
  <si>
    <t xml:space="preserve">a </t>
  </si>
  <si>
    <t xml:space="preserve">b = </t>
  </si>
  <si>
    <t>1/C2 - 1/C1</t>
  </si>
  <si>
    <t>reconstruit</t>
  </si>
  <si>
    <t>a moy</t>
  </si>
  <si>
    <t>b moy</t>
  </si>
  <si>
    <t>erreur</t>
  </si>
  <si>
    <t>C2 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</si>
</sst>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deltad/sE2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Sheet1!$C$2:$C$32</c:f>
              <c:numCache>
                <c:formatCode>0.00</c:formatCode>
                <c:ptCount val="31"/>
                <c:pt idx="0">
                  <c:v>6</c:v>
                </c:pt>
                <c:pt idx="1">
                  <c:v>5.5</c:v>
                </c:pt>
                <c:pt idx="2">
                  <c:v>5</c:v>
                </c:pt>
                <c:pt idx="3">
                  <c:v>4.5</c:v>
                </c:pt>
                <c:pt idx="4">
                  <c:v>4</c:v>
                </c:pt>
                <c:pt idx="5">
                  <c:v>3.5</c:v>
                </c:pt>
                <c:pt idx="6">
                  <c:v>3</c:v>
                </c:pt>
                <c:pt idx="7">
                  <c:v>2.5</c:v>
                </c:pt>
                <c:pt idx="8">
                  <c:v>2</c:v>
                </c:pt>
                <c:pt idx="9">
                  <c:v>1.5</c:v>
                </c:pt>
                <c:pt idx="10">
                  <c:v>1</c:v>
                </c:pt>
                <c:pt idx="11">
                  <c:v>0.5</c:v>
                </c:pt>
                <c:pt idx="12">
                  <c:v>0</c:v>
                </c:pt>
                <c:pt idx="13">
                  <c:v>-0.5</c:v>
                </c:pt>
                <c:pt idx="14">
                  <c:v>-1</c:v>
                </c:pt>
                <c:pt idx="15">
                  <c:v>-1.5</c:v>
                </c:pt>
                <c:pt idx="16">
                  <c:v>-1</c:v>
                </c:pt>
                <c:pt idx="17">
                  <c:v>-0.5</c:v>
                </c:pt>
                <c:pt idx="18">
                  <c:v>0</c:v>
                </c:pt>
                <c:pt idx="19">
                  <c:v>0.5</c:v>
                </c:pt>
                <c:pt idx="20">
                  <c:v>1</c:v>
                </c:pt>
                <c:pt idx="21">
                  <c:v>1.5</c:v>
                </c:pt>
                <c:pt idx="22">
                  <c:v>2</c:v>
                </c:pt>
                <c:pt idx="23">
                  <c:v>2.5</c:v>
                </c:pt>
                <c:pt idx="24">
                  <c:v>3</c:v>
                </c:pt>
                <c:pt idx="25">
                  <c:v>3.5</c:v>
                </c:pt>
                <c:pt idx="26">
                  <c:v>4</c:v>
                </c:pt>
                <c:pt idx="27">
                  <c:v>4.5</c:v>
                </c:pt>
                <c:pt idx="28">
                  <c:v>5</c:v>
                </c:pt>
                <c:pt idx="29">
                  <c:v>5.5</c:v>
                </c:pt>
                <c:pt idx="30">
                  <c:v>6</c:v>
                </c:pt>
              </c:numCache>
            </c:numRef>
          </c:xVal>
          <c:yVal>
            <c:numRef>
              <c:f>Sheet1!$X$2:$X$32</c:f>
              <c:numCache>
                <c:formatCode>General</c:formatCode>
                <c:ptCount val="31"/>
                <c:pt idx="0">
                  <c:v>2.2976761033575803</c:v>
                </c:pt>
                <c:pt idx="1">
                  <c:v>2.2976761033575803</c:v>
                </c:pt>
                <c:pt idx="2">
                  <c:v>2.2899532333494594</c:v>
                </c:pt>
                <c:pt idx="3">
                  <c:v>2.2389621259677757</c:v>
                </c:pt>
                <c:pt idx="4">
                  <c:v>2.235880183735524</c:v>
                </c:pt>
                <c:pt idx="5">
                  <c:v>2.1878147029204427</c:v>
                </c:pt>
                <c:pt idx="6">
                  <c:v>2.128692798747772</c:v>
                </c:pt>
                <c:pt idx="7">
                  <c:v>2.0403492559742293</c:v>
                </c:pt>
                <c:pt idx="8">
                  <c:v>2.0189206278062795</c:v>
                </c:pt>
                <c:pt idx="9">
                  <c:v>1.9466601075231034</c:v>
                </c:pt>
                <c:pt idx="10">
                  <c:v>1.9118969895966105</c:v>
                </c:pt>
                <c:pt idx="11">
                  <c:v>1.8478408014078789</c:v>
                </c:pt>
                <c:pt idx="12">
                  <c:v>1.809199411476679</c:v>
                </c:pt>
                <c:pt idx="13">
                  <c:v>1.7269992315364364</c:v>
                </c:pt>
                <c:pt idx="14">
                  <c:v>1.6615834286440461</c:v>
                </c:pt>
                <c:pt idx="15">
                  <c:v>1.5652490444700597</c:v>
                </c:pt>
                <c:pt idx="16">
                  <c:v>1.5481945426749981</c:v>
                </c:pt>
                <c:pt idx="17">
                  <c:v>1.6194873853978451</c:v>
                </c:pt>
                <c:pt idx="18">
                  <c:v>1.6951345755693583</c:v>
                </c:pt>
                <c:pt idx="19">
                  <c:v>1.7431459792244264</c:v>
                </c:pt>
                <c:pt idx="20">
                  <c:v>1.8047480620155039</c:v>
                </c:pt>
                <c:pt idx="21">
                  <c:v>1.9114184814596822</c:v>
                </c:pt>
                <c:pt idx="22">
                  <c:v>1.9917836818533861</c:v>
                </c:pt>
                <c:pt idx="23">
                  <c:v>1.9614743570276338</c:v>
                </c:pt>
                <c:pt idx="24">
                  <c:v>2.0347889848460161</c:v>
                </c:pt>
                <c:pt idx="25">
                  <c:v>2.1048999309868881</c:v>
                </c:pt>
                <c:pt idx="26">
                  <c:v>2.1435839566364301</c:v>
                </c:pt>
                <c:pt idx="27">
                  <c:v>2.1969696969696968</c:v>
                </c:pt>
                <c:pt idx="28">
                  <c:v>2.236586942469295</c:v>
                </c:pt>
                <c:pt idx="29">
                  <c:v>2.2894877006282841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76-472C-BA41-321BC64CECDB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1/C2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Sheet1!$C$2:$C$32</c:f>
              <c:numCache>
                <c:formatCode>0.00</c:formatCode>
                <c:ptCount val="31"/>
                <c:pt idx="0">
                  <c:v>6</c:v>
                </c:pt>
                <c:pt idx="1">
                  <c:v>5.5</c:v>
                </c:pt>
                <c:pt idx="2">
                  <c:v>5</c:v>
                </c:pt>
                <c:pt idx="3">
                  <c:v>4.5</c:v>
                </c:pt>
                <c:pt idx="4">
                  <c:v>4</c:v>
                </c:pt>
                <c:pt idx="5">
                  <c:v>3.5</c:v>
                </c:pt>
                <c:pt idx="6">
                  <c:v>3</c:v>
                </c:pt>
                <c:pt idx="7">
                  <c:v>2.5</c:v>
                </c:pt>
                <c:pt idx="8">
                  <c:v>2</c:v>
                </c:pt>
                <c:pt idx="9">
                  <c:v>1.5</c:v>
                </c:pt>
                <c:pt idx="10">
                  <c:v>1</c:v>
                </c:pt>
                <c:pt idx="11">
                  <c:v>0.5</c:v>
                </c:pt>
                <c:pt idx="12">
                  <c:v>0</c:v>
                </c:pt>
                <c:pt idx="13">
                  <c:v>-0.5</c:v>
                </c:pt>
                <c:pt idx="14">
                  <c:v>-1</c:v>
                </c:pt>
                <c:pt idx="15">
                  <c:v>-1.5</c:v>
                </c:pt>
                <c:pt idx="16">
                  <c:v>-1</c:v>
                </c:pt>
                <c:pt idx="17">
                  <c:v>-0.5</c:v>
                </c:pt>
                <c:pt idx="18">
                  <c:v>0</c:v>
                </c:pt>
                <c:pt idx="19">
                  <c:v>0.5</c:v>
                </c:pt>
                <c:pt idx="20">
                  <c:v>1</c:v>
                </c:pt>
                <c:pt idx="21">
                  <c:v>1.5</c:v>
                </c:pt>
                <c:pt idx="22">
                  <c:v>2</c:v>
                </c:pt>
                <c:pt idx="23">
                  <c:v>2.5</c:v>
                </c:pt>
                <c:pt idx="24">
                  <c:v>3</c:v>
                </c:pt>
                <c:pt idx="25">
                  <c:v>3.5</c:v>
                </c:pt>
                <c:pt idx="26">
                  <c:v>4</c:v>
                </c:pt>
                <c:pt idx="27">
                  <c:v>4.5</c:v>
                </c:pt>
                <c:pt idx="28">
                  <c:v>5</c:v>
                </c:pt>
                <c:pt idx="29">
                  <c:v>5.5</c:v>
                </c:pt>
                <c:pt idx="30">
                  <c:v>6</c:v>
                </c:pt>
              </c:numCache>
            </c:numRef>
          </c:xVal>
          <c:yVal>
            <c:numRef>
              <c:f>Sheet1!$AA$2:$AA$32</c:f>
              <c:numCache>
                <c:formatCode>General</c:formatCode>
                <c:ptCount val="31"/>
                <c:pt idx="0">
                  <c:v>3.1545741324921135</c:v>
                </c:pt>
                <c:pt idx="1">
                  <c:v>3.1545741324921135</c:v>
                </c:pt>
                <c:pt idx="2">
                  <c:v>3.1446540880503142</c:v>
                </c:pt>
                <c:pt idx="3">
                  <c:v>3.0864197530864197</c:v>
                </c:pt>
                <c:pt idx="4">
                  <c:v>3.0769230769230766</c:v>
                </c:pt>
                <c:pt idx="5">
                  <c:v>3.0211480362537761</c:v>
                </c:pt>
                <c:pt idx="6">
                  <c:v>2.9325513196480935</c:v>
                </c:pt>
                <c:pt idx="7">
                  <c:v>2.808988764044944</c:v>
                </c:pt>
                <c:pt idx="8">
                  <c:v>2.7472527472527473</c:v>
                </c:pt>
                <c:pt idx="9">
                  <c:v>2.6178010471204187</c:v>
                </c:pt>
                <c:pt idx="10">
                  <c:v>2.5380710659898478</c:v>
                </c:pt>
                <c:pt idx="11">
                  <c:v>2.4096385542168677</c:v>
                </c:pt>
                <c:pt idx="12">
                  <c:v>2.3201856148491879</c:v>
                </c:pt>
                <c:pt idx="13">
                  <c:v>2.1929824561403506</c:v>
                </c:pt>
                <c:pt idx="14">
                  <c:v>2.0491803278688523</c:v>
                </c:pt>
                <c:pt idx="15">
                  <c:v>1.8867924528301885</c:v>
                </c:pt>
                <c:pt idx="16">
                  <c:v>1.8726591760299625</c:v>
                </c:pt>
                <c:pt idx="17">
                  <c:v>1.9607843137254901</c:v>
                </c:pt>
                <c:pt idx="18">
                  <c:v>2.0833333333333335</c:v>
                </c:pt>
                <c:pt idx="19">
                  <c:v>2.1881838074398248</c:v>
                </c:pt>
                <c:pt idx="20">
                  <c:v>2.3255813953488373</c:v>
                </c:pt>
                <c:pt idx="21">
                  <c:v>2.5</c:v>
                </c:pt>
                <c:pt idx="22">
                  <c:v>2.6315789473684212</c:v>
                </c:pt>
                <c:pt idx="23">
                  <c:v>2.6385224274406331</c:v>
                </c:pt>
                <c:pt idx="24">
                  <c:v>2.770083102493075</c:v>
                </c:pt>
                <c:pt idx="25">
                  <c:v>2.8985507246376816</c:v>
                </c:pt>
                <c:pt idx="26">
                  <c:v>2.9585798816568047</c:v>
                </c:pt>
                <c:pt idx="27">
                  <c:v>3.0303030303030303</c:v>
                </c:pt>
                <c:pt idx="28">
                  <c:v>3.0769230769230766</c:v>
                </c:pt>
                <c:pt idx="29">
                  <c:v>3.134796238244514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6-472C-BA41-321BC64CE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578335"/>
        <c:axId val="1376578815"/>
      </c:scatterChart>
      <c:valAx>
        <c:axId val="1376578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6578815"/>
        <c:crosses val="autoZero"/>
        <c:crossBetween val="midCat"/>
      </c:valAx>
      <c:valAx>
        <c:axId val="137657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657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Sheet1!$AK$1</c:f>
              <c:strCache>
                <c:ptCount val="1"/>
                <c:pt idx="0">
                  <c:v>C2 (4)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Sheet1!$C$2:$C$32</c:f>
              <c:numCache>
                <c:formatCode>0.00</c:formatCode>
                <c:ptCount val="31"/>
                <c:pt idx="0">
                  <c:v>6</c:v>
                </c:pt>
                <c:pt idx="1">
                  <c:v>5.5</c:v>
                </c:pt>
                <c:pt idx="2">
                  <c:v>5</c:v>
                </c:pt>
                <c:pt idx="3">
                  <c:v>4.5</c:v>
                </c:pt>
                <c:pt idx="4">
                  <c:v>4</c:v>
                </c:pt>
                <c:pt idx="5">
                  <c:v>3.5</c:v>
                </c:pt>
                <c:pt idx="6">
                  <c:v>3</c:v>
                </c:pt>
                <c:pt idx="7">
                  <c:v>2.5</c:v>
                </c:pt>
                <c:pt idx="8">
                  <c:v>2</c:v>
                </c:pt>
                <c:pt idx="9">
                  <c:v>1.5</c:v>
                </c:pt>
                <c:pt idx="10">
                  <c:v>1</c:v>
                </c:pt>
                <c:pt idx="11">
                  <c:v>0.5</c:v>
                </c:pt>
                <c:pt idx="12">
                  <c:v>0</c:v>
                </c:pt>
                <c:pt idx="13">
                  <c:v>-0.5</c:v>
                </c:pt>
                <c:pt idx="14">
                  <c:v>-1</c:v>
                </c:pt>
                <c:pt idx="15">
                  <c:v>-1.5</c:v>
                </c:pt>
                <c:pt idx="16">
                  <c:v>-1</c:v>
                </c:pt>
                <c:pt idx="17">
                  <c:v>-0.5</c:v>
                </c:pt>
                <c:pt idx="18">
                  <c:v>0</c:v>
                </c:pt>
                <c:pt idx="19">
                  <c:v>0.5</c:v>
                </c:pt>
                <c:pt idx="20">
                  <c:v>1</c:v>
                </c:pt>
                <c:pt idx="21">
                  <c:v>1.5</c:v>
                </c:pt>
                <c:pt idx="22">
                  <c:v>2</c:v>
                </c:pt>
                <c:pt idx="23">
                  <c:v>2.5</c:v>
                </c:pt>
                <c:pt idx="24">
                  <c:v>3</c:v>
                </c:pt>
                <c:pt idx="25">
                  <c:v>3.5</c:v>
                </c:pt>
                <c:pt idx="26">
                  <c:v>4</c:v>
                </c:pt>
                <c:pt idx="27">
                  <c:v>4.5</c:v>
                </c:pt>
                <c:pt idx="28">
                  <c:v>5</c:v>
                </c:pt>
                <c:pt idx="29">
                  <c:v>5.5</c:v>
                </c:pt>
                <c:pt idx="30">
                  <c:v>6</c:v>
                </c:pt>
              </c:numCache>
            </c:numRef>
          </c:xVal>
          <c:yVal>
            <c:numRef>
              <c:f>Sheet1!$AK$2:$AK$32</c:f>
              <c:numCache>
                <c:formatCode>General</c:formatCode>
                <c:ptCount val="31"/>
                <c:pt idx="0">
                  <c:v>0.76500000000000001</c:v>
                </c:pt>
                <c:pt idx="1">
                  <c:v>0.76500000000000001</c:v>
                </c:pt>
                <c:pt idx="2">
                  <c:v>0.77</c:v>
                </c:pt>
                <c:pt idx="3">
                  <c:v>0.77800000000000002</c:v>
                </c:pt>
                <c:pt idx="4">
                  <c:v>0.78100000000000003</c:v>
                </c:pt>
                <c:pt idx="5">
                  <c:v>0.78600000000000003</c:v>
                </c:pt>
                <c:pt idx="6">
                  <c:v>0.79</c:v>
                </c:pt>
                <c:pt idx="7">
                  <c:v>0.80500000000000005</c:v>
                </c:pt>
                <c:pt idx="8">
                  <c:v>0.81100000000000005</c:v>
                </c:pt>
                <c:pt idx="9">
                  <c:v>0.81899999999999995</c:v>
                </c:pt>
                <c:pt idx="10">
                  <c:v>0.83199999999999996</c:v>
                </c:pt>
                <c:pt idx="11">
                  <c:v>0.85199999999999998</c:v>
                </c:pt>
                <c:pt idx="12">
                  <c:v>0.86699999999999999</c:v>
                </c:pt>
                <c:pt idx="13">
                  <c:v>0.92200000000000004</c:v>
                </c:pt>
                <c:pt idx="14">
                  <c:v>0.93</c:v>
                </c:pt>
                <c:pt idx="15">
                  <c:v>0.97199999999999998</c:v>
                </c:pt>
                <c:pt idx="16">
                  <c:v>0.92</c:v>
                </c:pt>
                <c:pt idx="17">
                  <c:v>0.92</c:v>
                </c:pt>
                <c:pt idx="18">
                  <c:v>0.9</c:v>
                </c:pt>
                <c:pt idx="19">
                  <c:v>0.86</c:v>
                </c:pt>
                <c:pt idx="20">
                  <c:v>0.84599999999999997</c:v>
                </c:pt>
                <c:pt idx="21">
                  <c:v>0.82</c:v>
                </c:pt>
                <c:pt idx="22">
                  <c:v>0.82299999999999995</c:v>
                </c:pt>
                <c:pt idx="23">
                  <c:v>0.81499999999999995</c:v>
                </c:pt>
                <c:pt idx="24">
                  <c:v>0.80700000000000005</c:v>
                </c:pt>
                <c:pt idx="25">
                  <c:v>0.79900000000000004</c:v>
                </c:pt>
                <c:pt idx="26">
                  <c:v>0.79700000000000004</c:v>
                </c:pt>
                <c:pt idx="27">
                  <c:v>0.78800000000000003</c:v>
                </c:pt>
                <c:pt idx="28">
                  <c:v>0.78300000000000003</c:v>
                </c:pt>
                <c:pt idx="29">
                  <c:v>0.77200000000000002</c:v>
                </c:pt>
                <c:pt idx="30">
                  <c:v>0.76900000000000002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EB-4700-B234-2149651F820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917270591"/>
        <c:axId val="1917271071"/>
      </c:scatterChart>
      <c:valAx>
        <c:axId val="19172705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7271071"/>
        <c:crosses val="autoZero"/>
        <c:crossBetween val="midCat"/>
      </c:valAx>
      <c:valAx>
        <c:axId val="1917271071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727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643742</xdr:colOff>
      <xdr:row>10</xdr:row>
      <xdr:rowOff>50469</xdr:rowOff>
    </xdr:from>
    <xdr:to>
      <xdr:col>21</xdr:col>
      <xdr:colOff>310489</xdr:colOff>
      <xdr:row>34</xdr:row>
      <xdr:rowOff>161553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21E2C-96E8-DE8B-AD4F-4DF7297A6C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468924</xdr:colOff>
      <xdr:row>0</xdr:row>
      <xdr:rowOff>0</xdr:rowOff>
    </xdr:from>
    <xdr:to>
      <xdr:col>29</xdr:col>
      <xdr:colOff>404446</xdr:colOff>
      <xdr:row>34</xdr:row>
      <xdr:rowOff>64476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7CA7BC-5D03-ABC1-7B9B-6B11593551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04403-9123-4789-897E-4074D25BBD8D}">
  <dimension ref="A1:AK32"/>
  <sheetViews>
    <sheetView tabSelected="1" topLeftCell="T1" zoomScale="145" zoomScaleNormal="145" workbookViewId="0">
      <selection activeCell="AE4" sqref="AE4"/>
    </sheetView>
  </sheetViews>
  <sheetFormatPr defaultRowHeight="14.4" x14ac:dyDescent="0.3"/>
  <cols>
    <col min="1" max="2" width="8.77734375" style="1"/>
    <col min="4" max="4" width="18.6640625" style="1" customWidth="1"/>
    <col min="5" max="5" width="17.109375" style="1" customWidth="1"/>
    <col min="6" max="6" width="6.33203125" style="1" bestFit="1" customWidth="1"/>
    <col min="7" max="7" width="20.21875" style="1" bestFit="1" customWidth="1"/>
    <col min="8" max="8" width="13" style="1" bestFit="1" customWidth="1"/>
    <col min="9" max="11" width="8.77734375" style="1"/>
    <col min="12" max="12" width="17" customWidth="1"/>
    <col min="14" max="14" width="19.33203125" customWidth="1"/>
    <col min="20" max="20" width="22.77734375" bestFit="1" customWidth="1"/>
    <col min="21" max="21" width="8.77734375" customWidth="1"/>
    <col min="22" max="22" width="13.109375" bestFit="1" customWidth="1"/>
    <col min="31" max="31" width="11" bestFit="1" customWidth="1"/>
    <col min="32" max="32" width="11.88671875" bestFit="1" customWidth="1"/>
  </cols>
  <sheetData>
    <row r="1" spans="1:37" x14ac:dyDescent="0.3">
      <c r="A1" t="s">
        <v>0</v>
      </c>
      <c r="B1" t="s">
        <v>2</v>
      </c>
      <c r="C1" t="s">
        <v>3</v>
      </c>
      <c r="D1" t="s">
        <v>11</v>
      </c>
      <c r="E1"/>
      <c r="F1" t="s">
        <v>4</v>
      </c>
      <c r="G1" t="s">
        <v>12</v>
      </c>
      <c r="H1" t="s">
        <v>5</v>
      </c>
      <c r="I1"/>
      <c r="J1" t="s">
        <v>1</v>
      </c>
      <c r="K1"/>
      <c r="L1" t="s">
        <v>6</v>
      </c>
      <c r="M1" t="s">
        <v>8</v>
      </c>
      <c r="N1" t="s">
        <v>9</v>
      </c>
      <c r="O1" t="s">
        <v>7</v>
      </c>
      <c r="P1" t="s">
        <v>10</v>
      </c>
      <c r="R1" t="s">
        <v>13</v>
      </c>
      <c r="S1" t="s">
        <v>14</v>
      </c>
      <c r="T1" t="s">
        <v>16</v>
      </c>
      <c r="U1" t="s">
        <v>15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29</v>
      </c>
      <c r="AH1" t="s">
        <v>27</v>
      </c>
      <c r="AI1" t="s">
        <v>28</v>
      </c>
      <c r="AK1" t="s">
        <v>30</v>
      </c>
    </row>
    <row r="2" spans="1:37" x14ac:dyDescent="0.3">
      <c r="A2" s="1">
        <v>0</v>
      </c>
      <c r="B2" s="1">
        <f t="shared" ref="B2:B32" si="0">A2 * 4</f>
        <v>0</v>
      </c>
      <c r="C2" s="1">
        <f t="shared" ref="C2:C32" si="1" xml:space="preserve"> 6 - B2</f>
        <v>6</v>
      </c>
      <c r="D2" s="1">
        <v>2.15</v>
      </c>
      <c r="F2" s="1">
        <v>1.07</v>
      </c>
      <c r="G2" s="1">
        <v>0.317</v>
      </c>
      <c r="H2" s="1">
        <v>0.23</v>
      </c>
      <c r="J2" s="1">
        <v>36.93</v>
      </c>
      <c r="L2">
        <f>$O$2*F2+$P$2</f>
        <v>3.8817867550836134</v>
      </c>
      <c r="M2" s="1">
        <f>(L2-C2)^2</f>
        <v>4.4868273509392083</v>
      </c>
      <c r="N2" s="1">
        <f>SUM(M2:M32)</f>
        <v>41.946508144552844</v>
      </c>
      <c r="O2">
        <v>-2.5469242163479193</v>
      </c>
      <c r="P2">
        <v>6.6069956665758873</v>
      </c>
      <c r="R2" s="1">
        <f xml:space="preserve">  D2 - $D$2</f>
        <v>0</v>
      </c>
      <c r="S2" s="1">
        <f>G2-$G$2</f>
        <v>0</v>
      </c>
      <c r="T2">
        <v>0.17</v>
      </c>
      <c r="U2">
        <v>1.1599999999999999</v>
      </c>
      <c r="V2">
        <v>0.17</v>
      </c>
      <c r="W2">
        <v>1.167</v>
      </c>
      <c r="X2">
        <f>AA2 - 1/W2</f>
        <v>2.2976761033575803</v>
      </c>
      <c r="Y2" s="1">
        <f>AVERAGE(F2,U2,W2)</f>
        <v>1.1323333333333334</v>
      </c>
      <c r="Z2" s="1">
        <f>AVERAGE(T2,V2,H2)</f>
        <v>0.19000000000000003</v>
      </c>
      <c r="AA2">
        <f>1/G2</f>
        <v>3.1545741324921135</v>
      </c>
      <c r="AC2">
        <f xml:space="preserve"> ((1/Z2 - 1/Y2) - (1/Z3-1/Y3) )/( C2-C3)</f>
        <v>0</v>
      </c>
      <c r="AD2">
        <f>1/Z2 - 1/Y2 - AC2 * C2</f>
        <v>4.3800257192879162</v>
      </c>
      <c r="AE2">
        <f>1/Z2 - 1/Y2</f>
        <v>4.3800257192879162</v>
      </c>
      <c r="AF2">
        <f xml:space="preserve"> AH2 * C2 +AI2</f>
        <v>4.65258419856168</v>
      </c>
      <c r="AG2">
        <f>AE2-AF2/AE2</f>
        <v>3.3177981213828347</v>
      </c>
      <c r="AH2">
        <f>AVERAGE($AC$2:$AC$31)</f>
        <v>0.2630408885863238</v>
      </c>
      <c r="AI2">
        <f>AVERAGE($AD$2:$AD$31)</f>
        <v>3.0743388670437377</v>
      </c>
      <c r="AK2">
        <v>0.76500000000000001</v>
      </c>
    </row>
    <row r="3" spans="1:37" x14ac:dyDescent="0.3">
      <c r="A3" s="1">
        <f>1/8+A2</f>
        <v>0.125</v>
      </c>
      <c r="B3" s="1">
        <f t="shared" si="0"/>
        <v>0.5</v>
      </c>
      <c r="C3" s="1">
        <f t="shared" si="1"/>
        <v>5.5</v>
      </c>
      <c r="D3" s="1">
        <v>2.16</v>
      </c>
      <c r="F3" s="1">
        <v>1.07</v>
      </c>
      <c r="G3" s="1">
        <v>0.317</v>
      </c>
      <c r="H3" s="1">
        <v>0.23</v>
      </c>
      <c r="L3">
        <f t="shared" ref="L3:L32" si="2">$O$2*F3+$P$2</f>
        <v>3.8817867550836134</v>
      </c>
      <c r="M3" s="1">
        <f t="shared" ref="M3:M32" si="3">(L3-C3)^2</f>
        <v>2.6186141060228216</v>
      </c>
      <c r="R3" s="1">
        <f t="shared" ref="R3:R32" si="4" xml:space="preserve">  D3 - $D$2</f>
        <v>1.0000000000000231E-2</v>
      </c>
      <c r="S3" s="1">
        <f t="shared" ref="S3:S31" si="5">G3-$G$2</f>
        <v>0</v>
      </c>
      <c r="T3">
        <v>0.17</v>
      </c>
      <c r="U3">
        <v>1.1599999999999999</v>
      </c>
      <c r="V3">
        <v>0.17</v>
      </c>
      <c r="W3">
        <v>1.167</v>
      </c>
      <c r="X3">
        <f t="shared" ref="X3:X32" si="6">AA3 - 1/W3</f>
        <v>2.2976761033575803</v>
      </c>
      <c r="Y3" s="1">
        <f t="shared" ref="Y3:Y32" si="7">AVERAGE(F3,U3,W3)</f>
        <v>1.1323333333333334</v>
      </c>
      <c r="Z3" s="1">
        <f t="shared" ref="Z3:Z32" si="8">AVERAGE(T3,V3,H3)</f>
        <v>0.19000000000000003</v>
      </c>
      <c r="AA3">
        <f t="shared" ref="AA3:AA32" si="9">1/G3</f>
        <v>3.1545741324921135</v>
      </c>
      <c r="AC3">
        <f t="shared" ref="AC3:AC32" si="10" xml:space="preserve"> ((1/Z3 - 1/Y3) - (1/Z4-1/Y4) )/( C3-C4)</f>
        <v>0.17269309665716293</v>
      </c>
      <c r="AD3">
        <f t="shared" ref="AD3:AD32" si="11">1/Z3 - 1/Y3 - AC3 * C3</f>
        <v>3.4302136876735201</v>
      </c>
      <c r="AE3">
        <f t="shared" ref="AE3:AE32" si="12">1/Z3 - 1/Y3</f>
        <v>4.3800257192879162</v>
      </c>
      <c r="AF3">
        <f t="shared" ref="AF3:AF32" si="13" xml:space="preserve"> AH3 * C3 +AI3</f>
        <v>4.5210637542685186</v>
      </c>
      <c r="AG3">
        <f t="shared" ref="AG3:AG32" si="14">AE3-AF3/AE3</f>
        <v>3.3478254437599606</v>
      </c>
      <c r="AH3">
        <f t="shared" ref="AH3:AH32" si="15">AVERAGE($AC$2:$AC$31)</f>
        <v>0.2630408885863238</v>
      </c>
      <c r="AI3">
        <f t="shared" ref="AI3:AI32" si="16">AVERAGE($AD$2:$AD$31)</f>
        <v>3.0743388670437377</v>
      </c>
      <c r="AK3">
        <v>0.76500000000000001</v>
      </c>
    </row>
    <row r="4" spans="1:37" x14ac:dyDescent="0.3">
      <c r="A4" s="1">
        <f t="shared" ref="A4:A17" si="17">1/8+A3</f>
        <v>0.25</v>
      </c>
      <c r="B4" s="1">
        <f t="shared" si="0"/>
        <v>1</v>
      </c>
      <c r="C4" s="1">
        <f t="shared" si="1"/>
        <v>5</v>
      </c>
      <c r="D4" s="1">
        <v>2.1680000000000001</v>
      </c>
      <c r="F4" s="1">
        <v>1.08</v>
      </c>
      <c r="G4" s="1">
        <v>0.318</v>
      </c>
      <c r="H4" s="1">
        <v>0.24</v>
      </c>
      <c r="L4">
        <f t="shared" si="2"/>
        <v>3.8563175129201341</v>
      </c>
      <c r="M4" s="1">
        <f t="shared" si="3"/>
        <v>1.3080096312531875</v>
      </c>
      <c r="R4" s="1">
        <f t="shared" si="4"/>
        <v>1.8000000000000238E-2</v>
      </c>
      <c r="S4" s="1">
        <f t="shared" si="5"/>
        <v>1.0000000000000009E-3</v>
      </c>
      <c r="T4">
        <v>0.17</v>
      </c>
      <c r="U4">
        <v>1.1639999999999999</v>
      </c>
      <c r="V4">
        <v>0.17</v>
      </c>
      <c r="W4">
        <v>1.17</v>
      </c>
      <c r="X4">
        <f t="shared" si="6"/>
        <v>2.2899532333494594</v>
      </c>
      <c r="Y4" s="1">
        <f t="shared" si="7"/>
        <v>1.1379999999999999</v>
      </c>
      <c r="Z4" s="1">
        <f t="shared" si="8"/>
        <v>0.19333333333333336</v>
      </c>
      <c r="AA4">
        <f t="shared" si="9"/>
        <v>3.1446540880503142</v>
      </c>
      <c r="AC4">
        <f t="shared" si="10"/>
        <v>0.26189881980218743</v>
      </c>
      <c r="AD4">
        <f t="shared" si="11"/>
        <v>2.9841850719483975</v>
      </c>
      <c r="AE4">
        <f t="shared" si="12"/>
        <v>4.2936791709593347</v>
      </c>
      <c r="AF4">
        <f t="shared" si="13"/>
        <v>4.3895433099753571</v>
      </c>
      <c r="AG4">
        <f t="shared" si="14"/>
        <v>3.271352365625483</v>
      </c>
      <c r="AH4">
        <f t="shared" si="15"/>
        <v>0.2630408885863238</v>
      </c>
      <c r="AI4">
        <f t="shared" si="16"/>
        <v>3.0743388670437377</v>
      </c>
      <c r="AK4">
        <v>0.77</v>
      </c>
    </row>
    <row r="5" spans="1:37" x14ac:dyDescent="0.3">
      <c r="A5" s="1">
        <f t="shared" si="17"/>
        <v>0.375</v>
      </c>
      <c r="B5" s="1">
        <f t="shared" si="0"/>
        <v>1.5</v>
      </c>
      <c r="C5" s="1">
        <f t="shared" si="1"/>
        <v>4.5</v>
      </c>
      <c r="D5" s="1">
        <v>2.1880000000000002</v>
      </c>
      <c r="F5" s="1">
        <v>1.0900000000000001</v>
      </c>
      <c r="G5" s="1">
        <v>0.32400000000000001</v>
      </c>
      <c r="H5" s="1">
        <v>0.25</v>
      </c>
      <c r="L5">
        <f t="shared" si="2"/>
        <v>3.8308482707566549</v>
      </c>
      <c r="M5" s="1">
        <f t="shared" si="3"/>
        <v>0.447764036749359</v>
      </c>
      <c r="R5" s="1">
        <f t="shared" si="4"/>
        <v>3.8000000000000256E-2</v>
      </c>
      <c r="S5" s="1">
        <f t="shared" si="5"/>
        <v>7.0000000000000062E-3</v>
      </c>
      <c r="T5">
        <v>0.17199999999999999</v>
      </c>
      <c r="U5">
        <v>1.175</v>
      </c>
      <c r="V5">
        <v>0.17399999999999999</v>
      </c>
      <c r="W5">
        <v>1.18</v>
      </c>
      <c r="X5">
        <f t="shared" si="6"/>
        <v>2.2389621259677757</v>
      </c>
      <c r="Y5" s="1">
        <f t="shared" si="7"/>
        <v>1.1483333333333334</v>
      </c>
      <c r="Z5" s="1">
        <f t="shared" si="8"/>
        <v>0.19866666666666666</v>
      </c>
      <c r="AA5">
        <f t="shared" si="9"/>
        <v>3.0864197530864197</v>
      </c>
      <c r="AC5">
        <f t="shared" si="10"/>
        <v>0.15258002218492095</v>
      </c>
      <c r="AD5">
        <f t="shared" si="11"/>
        <v>3.4761196612260967</v>
      </c>
      <c r="AE5">
        <f t="shared" si="12"/>
        <v>4.162729761058241</v>
      </c>
      <c r="AF5">
        <f t="shared" si="13"/>
        <v>4.2580228656821948</v>
      </c>
      <c r="AG5">
        <f t="shared" si="14"/>
        <v>3.1398377862979752</v>
      </c>
      <c r="AH5">
        <f t="shared" si="15"/>
        <v>0.2630408885863238</v>
      </c>
      <c r="AI5">
        <f t="shared" si="16"/>
        <v>3.0743388670437377</v>
      </c>
      <c r="AK5">
        <v>0.77800000000000002</v>
      </c>
    </row>
    <row r="6" spans="1:37" x14ac:dyDescent="0.3">
      <c r="A6" s="1">
        <f t="shared" si="17"/>
        <v>0.5</v>
      </c>
      <c r="B6" s="1">
        <f t="shared" si="0"/>
        <v>2</v>
      </c>
      <c r="C6" s="1">
        <f t="shared" si="1"/>
        <v>4</v>
      </c>
      <c r="D6" s="1">
        <v>2.2000000000000002</v>
      </c>
      <c r="F6" s="1">
        <v>1.1000000000000001</v>
      </c>
      <c r="G6" s="1">
        <v>0.32500000000000001</v>
      </c>
      <c r="H6" s="1">
        <v>0.25700000000000001</v>
      </c>
      <c r="L6">
        <f t="shared" si="2"/>
        <v>3.8053790285931757</v>
      </c>
      <c r="M6" s="1">
        <f t="shared" si="3"/>
        <v>3.787732251133593E-2</v>
      </c>
      <c r="R6" s="1">
        <f t="shared" si="4"/>
        <v>5.0000000000000266E-2</v>
      </c>
      <c r="S6" s="1">
        <f t="shared" si="5"/>
        <v>8.0000000000000071E-3</v>
      </c>
      <c r="T6">
        <v>0.17399999999999999</v>
      </c>
      <c r="U6">
        <v>1.1830000000000001</v>
      </c>
      <c r="V6">
        <v>0.17499999999999999</v>
      </c>
      <c r="W6">
        <v>1.1890000000000001</v>
      </c>
      <c r="X6">
        <f t="shared" si="6"/>
        <v>2.235880183735524</v>
      </c>
      <c r="Y6" s="1">
        <f t="shared" si="7"/>
        <v>1.1573333333333335</v>
      </c>
      <c r="Z6" s="1">
        <f t="shared" si="8"/>
        <v>0.20199999999999999</v>
      </c>
      <c r="AA6">
        <f t="shared" si="9"/>
        <v>3.0769230769230766</v>
      </c>
      <c r="AC6">
        <f t="shared" si="10"/>
        <v>4.5914490492126703E-2</v>
      </c>
      <c r="AD6">
        <f t="shared" si="11"/>
        <v>3.9027817879972737</v>
      </c>
      <c r="AE6">
        <f t="shared" si="12"/>
        <v>4.0864397499657805</v>
      </c>
      <c r="AF6">
        <f t="shared" si="13"/>
        <v>4.1265024213890324</v>
      </c>
      <c r="AG6">
        <f t="shared" si="14"/>
        <v>3.0766359417917855</v>
      </c>
      <c r="AH6">
        <f t="shared" si="15"/>
        <v>0.2630408885863238</v>
      </c>
      <c r="AI6">
        <f t="shared" si="16"/>
        <v>3.0743388670437377</v>
      </c>
      <c r="AK6">
        <v>0.78100000000000003</v>
      </c>
    </row>
    <row r="7" spans="1:37" x14ac:dyDescent="0.3">
      <c r="A7" s="1">
        <f t="shared" si="17"/>
        <v>0.625</v>
      </c>
      <c r="B7" s="1">
        <f t="shared" si="0"/>
        <v>2.5</v>
      </c>
      <c r="C7" s="1">
        <f t="shared" si="1"/>
        <v>3.5</v>
      </c>
      <c r="D7" s="1">
        <v>2.21</v>
      </c>
      <c r="F7" s="1">
        <v>1.1499999999999999</v>
      </c>
      <c r="G7" s="1">
        <v>0.33100000000000002</v>
      </c>
      <c r="H7" s="1">
        <v>0.26100000000000001</v>
      </c>
      <c r="L7">
        <f t="shared" si="2"/>
        <v>3.6780328177757804</v>
      </c>
      <c r="M7" s="1">
        <f t="shared" si="3"/>
        <v>3.1695684205184226E-2</v>
      </c>
      <c r="R7" s="1">
        <f t="shared" si="4"/>
        <v>6.0000000000000053E-2</v>
      </c>
      <c r="S7" s="1">
        <f t="shared" si="5"/>
        <v>1.4000000000000012E-2</v>
      </c>
      <c r="T7">
        <v>0.17499999999999999</v>
      </c>
      <c r="U7">
        <v>1.194</v>
      </c>
      <c r="V7">
        <v>0.17499999999999999</v>
      </c>
      <c r="W7">
        <v>1.2</v>
      </c>
      <c r="X7">
        <f t="shared" si="6"/>
        <v>2.1878147029204427</v>
      </c>
      <c r="Y7" s="1">
        <f t="shared" si="7"/>
        <v>1.1813333333333331</v>
      </c>
      <c r="Z7" s="1">
        <f t="shared" si="8"/>
        <v>0.20366666666666666</v>
      </c>
      <c r="AA7">
        <f t="shared" si="9"/>
        <v>3.0211480362537761</v>
      </c>
      <c r="AC7">
        <f t="shared" si="10"/>
        <v>0.39670185154469806</v>
      </c>
      <c r="AD7">
        <f t="shared" si="11"/>
        <v>2.675026024313274</v>
      </c>
      <c r="AE7">
        <f t="shared" si="12"/>
        <v>4.0634825047197172</v>
      </c>
      <c r="AF7">
        <f t="shared" si="13"/>
        <v>3.994981977095871</v>
      </c>
      <c r="AG7">
        <f t="shared" si="14"/>
        <v>3.0803400960946727</v>
      </c>
      <c r="AH7">
        <f t="shared" si="15"/>
        <v>0.2630408885863238</v>
      </c>
      <c r="AI7">
        <f t="shared" si="16"/>
        <v>3.0743388670437377</v>
      </c>
      <c r="AK7">
        <v>0.78600000000000003</v>
      </c>
    </row>
    <row r="8" spans="1:37" x14ac:dyDescent="0.3">
      <c r="A8" s="1">
        <f t="shared" si="17"/>
        <v>0.75</v>
      </c>
      <c r="B8" s="1">
        <f t="shared" si="0"/>
        <v>3</v>
      </c>
      <c r="C8" s="1">
        <f t="shared" si="1"/>
        <v>3</v>
      </c>
      <c r="D8" s="1">
        <v>2.23</v>
      </c>
      <c r="F8" s="1">
        <v>1.1559999999999999</v>
      </c>
      <c r="G8" s="1">
        <v>0.34100000000000003</v>
      </c>
      <c r="H8" s="1">
        <v>0.27400000000000002</v>
      </c>
      <c r="L8">
        <f t="shared" si="2"/>
        <v>3.6627512724776929</v>
      </c>
      <c r="M8" s="1">
        <f t="shared" si="3"/>
        <v>0.4392392491708012</v>
      </c>
      <c r="R8" s="1">
        <f t="shared" si="4"/>
        <v>8.0000000000000071E-2</v>
      </c>
      <c r="S8" s="1">
        <f t="shared" si="5"/>
        <v>2.4000000000000021E-2</v>
      </c>
      <c r="T8">
        <v>0.183</v>
      </c>
      <c r="U8">
        <v>1.248</v>
      </c>
      <c r="V8">
        <v>0.183</v>
      </c>
      <c r="W8">
        <v>1.244</v>
      </c>
      <c r="X8">
        <f t="shared" si="6"/>
        <v>2.128692798747772</v>
      </c>
      <c r="Y8" s="1">
        <f t="shared" si="7"/>
        <v>1.216</v>
      </c>
      <c r="Z8" s="1">
        <f t="shared" si="8"/>
        <v>0.21333333333333335</v>
      </c>
      <c r="AA8">
        <f t="shared" si="9"/>
        <v>2.9325513196480935</v>
      </c>
      <c r="AC8">
        <f t="shared" si="10"/>
        <v>0.33040540981852828</v>
      </c>
      <c r="AD8">
        <f t="shared" si="11"/>
        <v>2.8739153494917833</v>
      </c>
      <c r="AE8">
        <f t="shared" si="12"/>
        <v>3.8651315789473681</v>
      </c>
      <c r="AF8">
        <f t="shared" si="13"/>
        <v>3.8634615328027091</v>
      </c>
      <c r="AG8">
        <f t="shared" si="14"/>
        <v>2.8655636589711779</v>
      </c>
      <c r="AH8">
        <f t="shared" si="15"/>
        <v>0.2630408885863238</v>
      </c>
      <c r="AI8">
        <f t="shared" si="16"/>
        <v>3.0743388670437377</v>
      </c>
      <c r="AK8">
        <v>0.79</v>
      </c>
    </row>
    <row r="9" spans="1:37" x14ac:dyDescent="0.3">
      <c r="A9" s="1">
        <f t="shared" si="17"/>
        <v>0.875</v>
      </c>
      <c r="B9" s="1">
        <f t="shared" si="0"/>
        <v>3.5</v>
      </c>
      <c r="C9" s="1">
        <f t="shared" si="1"/>
        <v>2.5</v>
      </c>
      <c r="D9" s="1">
        <v>2.2610000000000001</v>
      </c>
      <c r="F9" s="1">
        <v>1.2410000000000001</v>
      </c>
      <c r="G9" s="1">
        <v>0.35599999999999998</v>
      </c>
      <c r="H9" s="1">
        <v>0.28799999999999998</v>
      </c>
      <c r="L9">
        <f t="shared" si="2"/>
        <v>3.4462627140881192</v>
      </c>
      <c r="M9" s="1">
        <f t="shared" si="3"/>
        <v>0.89541312407341367</v>
      </c>
      <c r="R9" s="1">
        <f t="shared" si="4"/>
        <v>0.11100000000000021</v>
      </c>
      <c r="S9" s="1">
        <f t="shared" si="5"/>
        <v>3.8999999999999979E-2</v>
      </c>
      <c r="T9">
        <v>0.192</v>
      </c>
      <c r="U9">
        <v>1.349</v>
      </c>
      <c r="V9">
        <v>0.191</v>
      </c>
      <c r="W9">
        <v>1.3009999999999999</v>
      </c>
      <c r="X9">
        <f t="shared" si="6"/>
        <v>2.0403492559742293</v>
      </c>
      <c r="Y9" s="1">
        <f t="shared" si="7"/>
        <v>1.2969999999999999</v>
      </c>
      <c r="Z9" s="1">
        <f t="shared" si="8"/>
        <v>0.22366666666666668</v>
      </c>
      <c r="AA9">
        <f t="shared" si="9"/>
        <v>2.808988764044944</v>
      </c>
      <c r="AC9">
        <f t="shared" si="10"/>
        <v>0.17371328907866612</v>
      </c>
      <c r="AD9">
        <f t="shared" si="11"/>
        <v>3.2656456513414387</v>
      </c>
      <c r="AE9">
        <f t="shared" si="12"/>
        <v>3.699928874038104</v>
      </c>
      <c r="AF9">
        <f t="shared" si="13"/>
        <v>3.7319410885095472</v>
      </c>
      <c r="AG9">
        <f t="shared" si="14"/>
        <v>2.6912767578593124</v>
      </c>
      <c r="AH9">
        <f t="shared" si="15"/>
        <v>0.2630408885863238</v>
      </c>
      <c r="AI9">
        <f t="shared" si="16"/>
        <v>3.0743388670437377</v>
      </c>
      <c r="AK9">
        <v>0.80500000000000005</v>
      </c>
    </row>
    <row r="10" spans="1:37" x14ac:dyDescent="0.3">
      <c r="A10" s="1">
        <f t="shared" si="17"/>
        <v>1</v>
      </c>
      <c r="B10" s="1">
        <f t="shared" si="0"/>
        <v>4</v>
      </c>
      <c r="C10" s="1">
        <f t="shared" si="1"/>
        <v>2</v>
      </c>
      <c r="D10" s="1">
        <v>2.2879999999999998</v>
      </c>
      <c r="F10" s="1">
        <v>1.3</v>
      </c>
      <c r="G10" s="1">
        <v>0.36399999999999999</v>
      </c>
      <c r="H10" s="1">
        <v>0.29499999999999998</v>
      </c>
      <c r="L10">
        <f t="shared" si="2"/>
        <v>3.2959941853235919</v>
      </c>
      <c r="M10" s="1">
        <f t="shared" si="3"/>
        <v>1.6796009283925606</v>
      </c>
      <c r="R10" s="1">
        <f t="shared" si="4"/>
        <v>0.1379999999999999</v>
      </c>
      <c r="S10" s="1">
        <f t="shared" si="5"/>
        <v>4.6999999999999986E-2</v>
      </c>
      <c r="T10">
        <v>0.19900000000000001</v>
      </c>
      <c r="U10">
        <v>1.41</v>
      </c>
      <c r="V10">
        <v>0.19600000000000001</v>
      </c>
      <c r="W10">
        <v>1.373</v>
      </c>
      <c r="X10">
        <f t="shared" si="6"/>
        <v>2.0189206278062795</v>
      </c>
      <c r="Y10" s="1">
        <f t="shared" si="7"/>
        <v>1.361</v>
      </c>
      <c r="Z10" s="1">
        <f t="shared" si="8"/>
        <v>0.22999999999999998</v>
      </c>
      <c r="AA10">
        <f t="shared" si="9"/>
        <v>2.7472527472527473</v>
      </c>
      <c r="AC10">
        <f t="shared" si="10"/>
        <v>0.19508028507622477</v>
      </c>
      <c r="AD10">
        <f t="shared" si="11"/>
        <v>3.2229116593463214</v>
      </c>
      <c r="AE10">
        <f t="shared" si="12"/>
        <v>3.6130722294987709</v>
      </c>
      <c r="AF10">
        <f t="shared" si="13"/>
        <v>3.6004206442163853</v>
      </c>
      <c r="AG10">
        <f t="shared" si="14"/>
        <v>2.6165738437701638</v>
      </c>
      <c r="AH10">
        <f t="shared" si="15"/>
        <v>0.2630408885863238</v>
      </c>
      <c r="AI10">
        <f t="shared" si="16"/>
        <v>3.0743388670437377</v>
      </c>
      <c r="AK10">
        <v>0.81100000000000005</v>
      </c>
    </row>
    <row r="11" spans="1:37" x14ac:dyDescent="0.3">
      <c r="A11" s="1">
        <f t="shared" si="17"/>
        <v>1.125</v>
      </c>
      <c r="B11" s="1">
        <f t="shared" si="0"/>
        <v>4.5</v>
      </c>
      <c r="C11" s="1">
        <f t="shared" si="1"/>
        <v>1.5</v>
      </c>
      <c r="D11" s="1">
        <v>2.2999999999999998</v>
      </c>
      <c r="F11" s="1">
        <v>1.4</v>
      </c>
      <c r="G11" s="1">
        <v>0.38200000000000001</v>
      </c>
      <c r="H11" s="1">
        <v>0.3</v>
      </c>
      <c r="L11">
        <f t="shared" si="2"/>
        <v>3.0413017636888005</v>
      </c>
      <c r="M11" s="1">
        <f t="shared" si="3"/>
        <v>2.3756111267502069</v>
      </c>
      <c r="R11" s="1">
        <f t="shared" si="4"/>
        <v>0.14999999999999991</v>
      </c>
      <c r="S11" s="1">
        <f t="shared" si="5"/>
        <v>6.5000000000000002E-2</v>
      </c>
      <c r="T11">
        <v>0.20799999999999999</v>
      </c>
      <c r="U11">
        <v>1.52</v>
      </c>
      <c r="V11">
        <v>0.20699999999999999</v>
      </c>
      <c r="W11">
        <v>1.49</v>
      </c>
      <c r="X11">
        <f t="shared" si="6"/>
        <v>1.9466601075231034</v>
      </c>
      <c r="Y11" s="1">
        <f t="shared" si="7"/>
        <v>1.47</v>
      </c>
      <c r="Z11" s="1">
        <f t="shared" si="8"/>
        <v>0.23833333333333331</v>
      </c>
      <c r="AA11">
        <f t="shared" si="9"/>
        <v>2.6178010471204187</v>
      </c>
      <c r="AC11">
        <f t="shared" si="10"/>
        <v>0.26623044212388169</v>
      </c>
      <c r="AD11">
        <f t="shared" si="11"/>
        <v>3.116186423774836</v>
      </c>
      <c r="AE11">
        <f t="shared" si="12"/>
        <v>3.5155320869606586</v>
      </c>
      <c r="AF11">
        <f t="shared" si="13"/>
        <v>3.4689001999232234</v>
      </c>
      <c r="AG11">
        <f t="shared" si="14"/>
        <v>2.5287966187253934</v>
      </c>
      <c r="AH11">
        <f t="shared" si="15"/>
        <v>0.2630408885863238</v>
      </c>
      <c r="AI11">
        <f t="shared" si="16"/>
        <v>3.0743388670437377</v>
      </c>
      <c r="AK11">
        <v>0.81899999999999995</v>
      </c>
    </row>
    <row r="12" spans="1:37" x14ac:dyDescent="0.3">
      <c r="A12" s="1">
        <f t="shared" si="17"/>
        <v>1.25</v>
      </c>
      <c r="B12" s="1">
        <f t="shared" si="0"/>
        <v>5</v>
      </c>
      <c r="C12" s="1">
        <f t="shared" si="1"/>
        <v>1</v>
      </c>
      <c r="D12" s="1">
        <v>2.35</v>
      </c>
      <c r="F12" s="1">
        <v>1.55</v>
      </c>
      <c r="G12" s="1">
        <v>0.39400000000000002</v>
      </c>
      <c r="H12" s="1">
        <v>0.32</v>
      </c>
      <c r="L12">
        <f t="shared" si="2"/>
        <v>2.6592631312366124</v>
      </c>
      <c r="M12" s="1">
        <f t="shared" si="3"/>
        <v>2.7531541386811278</v>
      </c>
      <c r="R12" s="1">
        <f t="shared" si="4"/>
        <v>0.20000000000000018</v>
      </c>
      <c r="S12" s="1">
        <f t="shared" si="5"/>
        <v>7.7000000000000013E-2</v>
      </c>
      <c r="T12">
        <v>0.219</v>
      </c>
      <c r="U12">
        <v>1.669</v>
      </c>
      <c r="V12">
        <v>0.21</v>
      </c>
      <c r="W12">
        <v>1.597</v>
      </c>
      <c r="X12">
        <f t="shared" si="6"/>
        <v>1.9118969895966105</v>
      </c>
      <c r="Y12" s="1">
        <f t="shared" si="7"/>
        <v>1.6053333333333335</v>
      </c>
      <c r="Z12" s="1">
        <f t="shared" si="8"/>
        <v>0.24966666666666668</v>
      </c>
      <c r="AA12">
        <f t="shared" si="9"/>
        <v>2.5380710659898478</v>
      </c>
      <c r="AC12">
        <f t="shared" si="10"/>
        <v>0.32316570560177293</v>
      </c>
      <c r="AD12">
        <f t="shared" si="11"/>
        <v>3.0592511602969448</v>
      </c>
      <c r="AE12">
        <f t="shared" si="12"/>
        <v>3.3824168658987177</v>
      </c>
      <c r="AF12">
        <f t="shared" si="13"/>
        <v>3.3373797556300615</v>
      </c>
      <c r="AG12">
        <f t="shared" si="14"/>
        <v>2.3957319338085066</v>
      </c>
      <c r="AH12">
        <f t="shared" si="15"/>
        <v>0.2630408885863238</v>
      </c>
      <c r="AI12">
        <f t="shared" si="16"/>
        <v>3.0743388670437377</v>
      </c>
      <c r="AK12">
        <v>0.83199999999999996</v>
      </c>
    </row>
    <row r="13" spans="1:37" x14ac:dyDescent="0.3">
      <c r="A13" s="1">
        <f t="shared" si="17"/>
        <v>1.375</v>
      </c>
      <c r="B13" s="1">
        <f t="shared" si="0"/>
        <v>5.5</v>
      </c>
      <c r="C13" s="1">
        <f t="shared" si="1"/>
        <v>0.5</v>
      </c>
      <c r="D13" s="1">
        <v>2.39</v>
      </c>
      <c r="F13" s="1">
        <v>1.835</v>
      </c>
      <c r="G13" s="1">
        <v>0.41499999999999998</v>
      </c>
      <c r="H13" s="1">
        <v>0.34</v>
      </c>
      <c r="L13">
        <f t="shared" si="2"/>
        <v>1.9333897295774554</v>
      </c>
      <c r="M13" s="1">
        <f t="shared" si="3"/>
        <v>2.0546061168581304</v>
      </c>
      <c r="R13" s="1">
        <f t="shared" si="4"/>
        <v>0.24000000000000021</v>
      </c>
      <c r="S13" s="1">
        <f t="shared" si="5"/>
        <v>9.7999999999999976E-2</v>
      </c>
      <c r="T13">
        <v>0.23699999999999999</v>
      </c>
      <c r="U13">
        <v>1.907</v>
      </c>
      <c r="V13">
        <v>0.22</v>
      </c>
      <c r="W13">
        <v>1.78</v>
      </c>
      <c r="X13">
        <f t="shared" si="6"/>
        <v>1.8478408014078789</v>
      </c>
      <c r="Y13" s="1">
        <f t="shared" si="7"/>
        <v>1.8406666666666667</v>
      </c>
      <c r="Z13" s="1">
        <f t="shared" si="8"/>
        <v>0.26566666666666666</v>
      </c>
      <c r="AA13">
        <f t="shared" si="9"/>
        <v>2.4096385542168677</v>
      </c>
      <c r="AC13">
        <f t="shared" si="10"/>
        <v>0.36790442126263656</v>
      </c>
      <c r="AD13">
        <f t="shared" si="11"/>
        <v>3.036881802466513</v>
      </c>
      <c r="AE13">
        <f t="shared" si="12"/>
        <v>3.2208340130978312</v>
      </c>
      <c r="AF13">
        <f t="shared" si="13"/>
        <v>3.2058593113368996</v>
      </c>
      <c r="AG13">
        <f t="shared" si="14"/>
        <v>2.2254833373722382</v>
      </c>
      <c r="AH13">
        <f t="shared" si="15"/>
        <v>0.2630408885863238</v>
      </c>
      <c r="AI13">
        <f t="shared" si="16"/>
        <v>3.0743388670437377</v>
      </c>
      <c r="AK13">
        <v>0.85199999999999998</v>
      </c>
    </row>
    <row r="14" spans="1:37" x14ac:dyDescent="0.3">
      <c r="A14" s="1">
        <f t="shared" si="17"/>
        <v>1.5</v>
      </c>
      <c r="B14" s="1">
        <f t="shared" si="0"/>
        <v>6</v>
      </c>
      <c r="C14" s="1">
        <f t="shared" si="1"/>
        <v>0</v>
      </c>
      <c r="D14" s="1">
        <v>2.57</v>
      </c>
      <c r="F14" s="1">
        <v>2.0099999999999998</v>
      </c>
      <c r="G14" s="1">
        <v>0.43099999999999999</v>
      </c>
      <c r="H14" s="1">
        <v>0.35499999999999998</v>
      </c>
      <c r="L14">
        <f t="shared" si="2"/>
        <v>1.4876779917165699</v>
      </c>
      <c r="M14" s="1">
        <f t="shared" si="3"/>
        <v>2.2131858070378465</v>
      </c>
      <c r="R14" s="1">
        <f t="shared" si="4"/>
        <v>0.41999999999999993</v>
      </c>
      <c r="S14" s="1">
        <f t="shared" si="5"/>
        <v>0.11399999999999999</v>
      </c>
      <c r="T14">
        <v>0.252</v>
      </c>
      <c r="U14">
        <v>2.1240000000000001</v>
      </c>
      <c r="V14">
        <v>0.24299999999999999</v>
      </c>
      <c r="W14">
        <v>1.9570000000000001</v>
      </c>
      <c r="X14">
        <f t="shared" si="6"/>
        <v>1.809199411476679</v>
      </c>
      <c r="Y14" s="1">
        <f t="shared" si="7"/>
        <v>2.0303333333333335</v>
      </c>
      <c r="Z14" s="1">
        <f t="shared" si="8"/>
        <v>0.28333333333333333</v>
      </c>
      <c r="AA14">
        <f t="shared" si="9"/>
        <v>2.3201856148491879</v>
      </c>
      <c r="AC14">
        <f t="shared" si="10"/>
        <v>0.27969181431152368</v>
      </c>
      <c r="AD14">
        <f t="shared" si="11"/>
        <v>3.036881802466513</v>
      </c>
      <c r="AE14">
        <f t="shared" si="12"/>
        <v>3.036881802466513</v>
      </c>
      <c r="AF14">
        <f t="shared" si="13"/>
        <v>3.0743388670437377</v>
      </c>
      <c r="AG14">
        <f t="shared" si="14"/>
        <v>2.0245477483236081</v>
      </c>
      <c r="AH14">
        <f t="shared" si="15"/>
        <v>0.2630408885863238</v>
      </c>
      <c r="AI14">
        <f t="shared" si="16"/>
        <v>3.0743388670437377</v>
      </c>
      <c r="AK14">
        <v>0.86699999999999999</v>
      </c>
    </row>
    <row r="15" spans="1:37" x14ac:dyDescent="0.3">
      <c r="A15" s="1">
        <f t="shared" si="17"/>
        <v>1.625</v>
      </c>
      <c r="B15" s="1">
        <f t="shared" si="0"/>
        <v>6.5</v>
      </c>
      <c r="C15" s="1">
        <f t="shared" si="1"/>
        <v>-0.5</v>
      </c>
      <c r="D15" s="1">
        <v>2.6</v>
      </c>
      <c r="F15" s="1">
        <v>2.2280000000000002</v>
      </c>
      <c r="G15" s="1">
        <v>0.45600000000000002</v>
      </c>
      <c r="H15" s="1">
        <v>0.372</v>
      </c>
      <c r="L15">
        <f t="shared" si="2"/>
        <v>0.93244851255272287</v>
      </c>
      <c r="M15" s="1">
        <f t="shared" si="3"/>
        <v>2.0519087411145081</v>
      </c>
      <c r="R15" s="1">
        <f t="shared" si="4"/>
        <v>0.45000000000000018</v>
      </c>
      <c r="S15" s="1">
        <f t="shared" si="5"/>
        <v>0.13900000000000001</v>
      </c>
      <c r="T15">
        <v>0.27</v>
      </c>
      <c r="U15">
        <v>2.387</v>
      </c>
      <c r="V15">
        <v>0.25600000000000001</v>
      </c>
      <c r="W15">
        <v>2.1459999999999999</v>
      </c>
      <c r="X15">
        <f t="shared" si="6"/>
        <v>1.7269992315364364</v>
      </c>
      <c r="Y15" s="1">
        <f t="shared" si="7"/>
        <v>2.2536666666666667</v>
      </c>
      <c r="Z15" s="1">
        <f t="shared" si="8"/>
        <v>0.29933333333333334</v>
      </c>
      <c r="AA15">
        <f t="shared" si="9"/>
        <v>2.1929824561403506</v>
      </c>
      <c r="AC15">
        <f t="shared" si="10"/>
        <v>0.49110562053948303</v>
      </c>
      <c r="AD15">
        <f t="shared" si="11"/>
        <v>3.1425887055804926</v>
      </c>
      <c r="AE15">
        <f t="shared" si="12"/>
        <v>2.8970358953107511</v>
      </c>
      <c r="AF15">
        <f t="shared" si="13"/>
        <v>2.9428184227505758</v>
      </c>
      <c r="AG15">
        <f t="shared" si="14"/>
        <v>1.8812326643207831</v>
      </c>
      <c r="AH15">
        <f t="shared" si="15"/>
        <v>0.2630408885863238</v>
      </c>
      <c r="AI15">
        <f t="shared" si="16"/>
        <v>3.0743388670437377</v>
      </c>
      <c r="AK15">
        <v>0.92200000000000004</v>
      </c>
    </row>
    <row r="16" spans="1:37" x14ac:dyDescent="0.3">
      <c r="A16" s="1">
        <f t="shared" si="17"/>
        <v>1.75</v>
      </c>
      <c r="B16" s="1">
        <f t="shared" si="0"/>
        <v>7</v>
      </c>
      <c r="C16" s="1">
        <f t="shared" si="1"/>
        <v>-1</v>
      </c>
      <c r="D16" s="1">
        <v>2.7</v>
      </c>
      <c r="F16" s="1">
        <v>2.6779999999999999</v>
      </c>
      <c r="G16" s="1">
        <v>0.48799999999999999</v>
      </c>
      <c r="H16" s="1">
        <v>0.40200000000000002</v>
      </c>
      <c r="L16">
        <f t="shared" si="2"/>
        <v>-0.2136673848038404</v>
      </c>
      <c r="M16" s="1">
        <f t="shared" si="3"/>
        <v>0.61831898172123156</v>
      </c>
      <c r="R16" s="1">
        <f t="shared" si="4"/>
        <v>0.55000000000000027</v>
      </c>
      <c r="S16" s="1">
        <f t="shared" si="5"/>
        <v>0.17099999999999999</v>
      </c>
      <c r="T16">
        <v>0.30499999999999999</v>
      </c>
      <c r="U16">
        <v>2.9929999999999999</v>
      </c>
      <c r="V16">
        <v>0.28799999999999998</v>
      </c>
      <c r="W16">
        <v>2.58</v>
      </c>
      <c r="X16">
        <f t="shared" si="6"/>
        <v>1.6615834286440461</v>
      </c>
      <c r="Y16" s="1">
        <f t="shared" si="7"/>
        <v>2.7503333333333333</v>
      </c>
      <c r="Z16" s="1">
        <f t="shared" si="8"/>
        <v>0.33166666666666667</v>
      </c>
      <c r="AA16">
        <f t="shared" si="9"/>
        <v>2.0491803278688523</v>
      </c>
      <c r="AC16">
        <f t="shared" si="10"/>
        <v>0.57590538237994071</v>
      </c>
      <c r="AD16">
        <f t="shared" si="11"/>
        <v>3.2273884674209503</v>
      </c>
      <c r="AE16">
        <f t="shared" si="12"/>
        <v>2.6514830850410096</v>
      </c>
      <c r="AF16">
        <f t="shared" si="13"/>
        <v>2.8112979784574139</v>
      </c>
      <c r="AG16">
        <f t="shared" si="14"/>
        <v>1.5912093105945351</v>
      </c>
      <c r="AH16">
        <f t="shared" si="15"/>
        <v>0.2630408885863238</v>
      </c>
      <c r="AI16">
        <f t="shared" si="16"/>
        <v>3.0743388670437377</v>
      </c>
      <c r="AK16">
        <v>0.93</v>
      </c>
    </row>
    <row r="17" spans="1:37" x14ac:dyDescent="0.3">
      <c r="A17" s="1">
        <f t="shared" si="17"/>
        <v>1.875</v>
      </c>
      <c r="B17" s="1">
        <f t="shared" si="0"/>
        <v>7.5</v>
      </c>
      <c r="C17" s="1">
        <f t="shared" si="1"/>
        <v>-1.5</v>
      </c>
      <c r="D17" s="1">
        <v>3.09</v>
      </c>
      <c r="F17" s="1">
        <v>3.6709999999999998</v>
      </c>
      <c r="G17" s="1">
        <v>0.53</v>
      </c>
      <c r="H17" s="1">
        <v>0.46</v>
      </c>
      <c r="L17">
        <f t="shared" si="2"/>
        <v>-2.7427631316373233</v>
      </c>
      <c r="M17" s="1">
        <f t="shared" si="3"/>
        <v>1.544460201357007</v>
      </c>
      <c r="R17" s="1">
        <f t="shared" si="4"/>
        <v>0.94</v>
      </c>
      <c r="S17" s="1">
        <f t="shared" si="5"/>
        <v>0.21300000000000002</v>
      </c>
      <c r="T17">
        <v>0.35</v>
      </c>
      <c r="U17">
        <v>3.6</v>
      </c>
      <c r="V17">
        <v>0.32100000000000001</v>
      </c>
      <c r="W17">
        <v>3.11</v>
      </c>
      <c r="X17">
        <f t="shared" si="6"/>
        <v>1.5652490444700597</v>
      </c>
      <c r="Y17" s="1">
        <f t="shared" si="7"/>
        <v>3.4603333333333333</v>
      </c>
      <c r="Z17" s="1">
        <f t="shared" si="8"/>
        <v>0.377</v>
      </c>
      <c r="AA17">
        <f t="shared" si="9"/>
        <v>1.8867924528301885</v>
      </c>
      <c r="AC17">
        <f t="shared" si="10"/>
        <v>3.0014381973935578E-2</v>
      </c>
      <c r="AD17">
        <f t="shared" si="11"/>
        <v>2.4085519668119426</v>
      </c>
      <c r="AE17">
        <f t="shared" si="12"/>
        <v>2.3635303938510392</v>
      </c>
      <c r="AF17">
        <f t="shared" si="13"/>
        <v>2.679777534164252</v>
      </c>
      <c r="AG17">
        <f t="shared" si="14"/>
        <v>1.2297275279619602</v>
      </c>
      <c r="AH17">
        <f t="shared" si="15"/>
        <v>0.2630408885863238</v>
      </c>
      <c r="AI17">
        <f t="shared" si="16"/>
        <v>3.0743388670437377</v>
      </c>
      <c r="AK17">
        <v>0.97199999999999998</v>
      </c>
    </row>
    <row r="18" spans="1:37" x14ac:dyDescent="0.3">
      <c r="A18" s="1">
        <v>1.75</v>
      </c>
      <c r="B18" s="1">
        <f t="shared" si="0"/>
        <v>7</v>
      </c>
      <c r="C18" s="1">
        <f t="shared" si="1"/>
        <v>-1</v>
      </c>
      <c r="D18" s="1">
        <v>3.05</v>
      </c>
      <c r="F18" s="1">
        <v>3.73</v>
      </c>
      <c r="G18" s="1">
        <v>0.53400000000000003</v>
      </c>
      <c r="H18" s="1">
        <v>0.46600000000000003</v>
      </c>
      <c r="L18">
        <f t="shared" si="2"/>
        <v>-2.8930316604018511</v>
      </c>
      <c r="M18" s="1">
        <f t="shared" si="3"/>
        <v>3.5835688672837893</v>
      </c>
      <c r="R18" s="1">
        <f t="shared" si="4"/>
        <v>0.89999999999999991</v>
      </c>
      <c r="S18" s="1">
        <f t="shared" si="5"/>
        <v>0.21700000000000003</v>
      </c>
      <c r="T18">
        <v>0.34</v>
      </c>
      <c r="U18">
        <v>3.6</v>
      </c>
      <c r="V18">
        <v>0.31900000000000001</v>
      </c>
      <c r="W18">
        <v>3.0819999999999999</v>
      </c>
      <c r="X18">
        <f t="shared" si="6"/>
        <v>1.5481945426749981</v>
      </c>
      <c r="Y18" s="1">
        <f t="shared" si="7"/>
        <v>3.4706666666666663</v>
      </c>
      <c r="Z18" s="1">
        <f t="shared" si="8"/>
        <v>0.375</v>
      </c>
      <c r="AA18">
        <f t="shared" si="9"/>
        <v>1.8726591760299625</v>
      </c>
      <c r="AC18">
        <f t="shared" si="10"/>
        <v>0.28050261675620902</v>
      </c>
      <c r="AD18">
        <f t="shared" si="11"/>
        <v>2.6590402015942161</v>
      </c>
      <c r="AE18">
        <f t="shared" si="12"/>
        <v>2.378537584838007</v>
      </c>
      <c r="AF18">
        <f t="shared" si="13"/>
        <v>2.8112979784574139</v>
      </c>
      <c r="AG18">
        <f t="shared" si="14"/>
        <v>1.1965936894049314</v>
      </c>
      <c r="AH18">
        <f t="shared" si="15"/>
        <v>0.2630408885863238</v>
      </c>
      <c r="AI18">
        <f t="shared" si="16"/>
        <v>3.0743388670437377</v>
      </c>
      <c r="AK18">
        <v>0.92</v>
      </c>
    </row>
    <row r="19" spans="1:37" x14ac:dyDescent="0.3">
      <c r="A19" s="1">
        <f xml:space="preserve"> A18 - 1/8</f>
        <v>1.625</v>
      </c>
      <c r="B19" s="1">
        <f t="shared" si="0"/>
        <v>6.5</v>
      </c>
      <c r="C19" s="1">
        <f t="shared" si="1"/>
        <v>-0.5</v>
      </c>
      <c r="D19" s="1">
        <v>2.75</v>
      </c>
      <c r="F19" s="1">
        <v>3.03</v>
      </c>
      <c r="G19" s="1">
        <v>0.51</v>
      </c>
      <c r="H19" s="1">
        <v>0.42</v>
      </c>
      <c r="L19">
        <f t="shared" si="2"/>
        <v>-1.1101847089583075</v>
      </c>
      <c r="M19" s="1">
        <f t="shared" si="3"/>
        <v>0.3723253790465344</v>
      </c>
      <c r="R19" s="1">
        <f t="shared" si="4"/>
        <v>0.60000000000000009</v>
      </c>
      <c r="S19" s="1">
        <f t="shared" si="5"/>
        <v>0.193</v>
      </c>
      <c r="T19">
        <v>0.32400000000000001</v>
      </c>
      <c r="U19">
        <v>3.2</v>
      </c>
      <c r="V19">
        <v>0.31</v>
      </c>
      <c r="W19">
        <v>2.93</v>
      </c>
      <c r="X19">
        <f t="shared" si="6"/>
        <v>1.6194873853978451</v>
      </c>
      <c r="Y19" s="1">
        <f t="shared" si="7"/>
        <v>3.0533333333333332</v>
      </c>
      <c r="Z19" s="1">
        <f t="shared" si="8"/>
        <v>0.35133333333333333</v>
      </c>
      <c r="AA19">
        <f t="shared" si="9"/>
        <v>1.9607843137254901</v>
      </c>
      <c r="AC19">
        <f t="shared" si="10"/>
        <v>0.31641417112169279</v>
      </c>
      <c r="AD19">
        <f t="shared" si="11"/>
        <v>2.6769959787769579</v>
      </c>
      <c r="AE19">
        <f t="shared" si="12"/>
        <v>2.5187888932161115</v>
      </c>
      <c r="AF19">
        <f t="shared" si="13"/>
        <v>2.9428184227505758</v>
      </c>
      <c r="AG19">
        <f t="shared" si="14"/>
        <v>1.3504422998686068</v>
      </c>
      <c r="AH19">
        <f t="shared" si="15"/>
        <v>0.2630408885863238</v>
      </c>
      <c r="AI19">
        <f t="shared" si="16"/>
        <v>3.0743388670437377</v>
      </c>
      <c r="AK19">
        <v>0.92</v>
      </c>
    </row>
    <row r="20" spans="1:37" x14ac:dyDescent="0.3">
      <c r="A20" s="1">
        <f t="shared" ref="A20:A32" si="18" xml:space="preserve"> A19 - 1/8</f>
        <v>1.5</v>
      </c>
      <c r="B20" s="1">
        <f t="shared" si="0"/>
        <v>6</v>
      </c>
      <c r="C20" s="1">
        <f t="shared" si="1"/>
        <v>0</v>
      </c>
      <c r="D20" s="1">
        <v>2.7</v>
      </c>
      <c r="F20" s="1">
        <v>2.57</v>
      </c>
      <c r="G20" s="1">
        <v>0.48</v>
      </c>
      <c r="H20" s="1">
        <v>0.39400000000000002</v>
      </c>
      <c r="L20">
        <f t="shared" si="2"/>
        <v>6.1400430561735497E-2</v>
      </c>
      <c r="M20" s="1">
        <f t="shared" si="3"/>
        <v>3.7700128731665023E-3</v>
      </c>
      <c r="R20" s="1">
        <f t="shared" si="4"/>
        <v>0.55000000000000027</v>
      </c>
      <c r="S20" s="1">
        <f t="shared" si="5"/>
        <v>0.16299999999999998</v>
      </c>
      <c r="T20">
        <v>0.3</v>
      </c>
      <c r="U20">
        <v>2.83</v>
      </c>
      <c r="V20">
        <v>0.28860000000000002</v>
      </c>
      <c r="W20">
        <v>2.5760000000000001</v>
      </c>
      <c r="X20">
        <f t="shared" si="6"/>
        <v>1.6951345755693583</v>
      </c>
      <c r="Y20" s="1">
        <f t="shared" si="7"/>
        <v>2.658666666666667</v>
      </c>
      <c r="Z20" s="1">
        <f t="shared" si="8"/>
        <v>0.32753333333333334</v>
      </c>
      <c r="AA20">
        <f t="shared" si="9"/>
        <v>2.0833333333333335</v>
      </c>
      <c r="AC20">
        <f t="shared" si="10"/>
        <v>0.4043128472878692</v>
      </c>
      <c r="AD20">
        <f t="shared" si="11"/>
        <v>2.6769959787769579</v>
      </c>
      <c r="AE20">
        <f t="shared" si="12"/>
        <v>2.6769959787769579</v>
      </c>
      <c r="AF20">
        <f t="shared" si="13"/>
        <v>3.0743388670437377</v>
      </c>
      <c r="AG20">
        <f t="shared" si="14"/>
        <v>1.5285673328556015</v>
      </c>
      <c r="AH20">
        <f t="shared" si="15"/>
        <v>0.2630408885863238</v>
      </c>
      <c r="AI20">
        <f t="shared" si="16"/>
        <v>3.0743388670437377</v>
      </c>
      <c r="AK20">
        <v>0.9</v>
      </c>
    </row>
    <row r="21" spans="1:37" x14ac:dyDescent="0.3">
      <c r="A21" s="1">
        <f t="shared" si="18"/>
        <v>1.375</v>
      </c>
      <c r="B21" s="1">
        <f t="shared" si="0"/>
        <v>5.5</v>
      </c>
      <c r="C21" s="1">
        <f t="shared" si="1"/>
        <v>0.5</v>
      </c>
      <c r="D21" s="1">
        <v>2.6</v>
      </c>
      <c r="F21" s="1">
        <v>2.23</v>
      </c>
      <c r="G21" s="1">
        <v>0.45700000000000002</v>
      </c>
      <c r="H21" s="1">
        <v>0.37</v>
      </c>
      <c r="L21">
        <f t="shared" si="2"/>
        <v>0.92735466412002765</v>
      </c>
      <c r="M21" s="1">
        <f t="shared" si="3"/>
        <v>0.18263200894514164</v>
      </c>
      <c r="R21" s="1">
        <f t="shared" si="4"/>
        <v>0.45000000000000018</v>
      </c>
      <c r="S21" s="1">
        <f t="shared" si="5"/>
        <v>0.14000000000000001</v>
      </c>
      <c r="T21">
        <v>0.27100000000000002</v>
      </c>
      <c r="U21">
        <v>2.35</v>
      </c>
      <c r="V21">
        <v>0.26300000000000001</v>
      </c>
      <c r="W21">
        <v>2.2469999999999999</v>
      </c>
      <c r="X21">
        <f t="shared" si="6"/>
        <v>1.7431459792244264</v>
      </c>
      <c r="Y21" s="1">
        <f t="shared" si="7"/>
        <v>2.2756666666666665</v>
      </c>
      <c r="Z21" s="1">
        <f t="shared" si="8"/>
        <v>0.30133333333333334</v>
      </c>
      <c r="AA21">
        <f t="shared" si="9"/>
        <v>2.1881838074398248</v>
      </c>
      <c r="AC21">
        <f t="shared" si="10"/>
        <v>0.4227779824965836</v>
      </c>
      <c r="AD21">
        <f t="shared" si="11"/>
        <v>2.6677634111726007</v>
      </c>
      <c r="AE21">
        <f t="shared" si="12"/>
        <v>2.8791524024208925</v>
      </c>
      <c r="AF21">
        <f t="shared" si="13"/>
        <v>3.2058593113368996</v>
      </c>
      <c r="AG21">
        <f t="shared" si="14"/>
        <v>1.7656791077660836</v>
      </c>
      <c r="AH21">
        <f t="shared" si="15"/>
        <v>0.2630408885863238</v>
      </c>
      <c r="AI21">
        <f t="shared" si="16"/>
        <v>3.0743388670437377</v>
      </c>
      <c r="AK21">
        <v>0.86</v>
      </c>
    </row>
    <row r="22" spans="1:37" x14ac:dyDescent="0.3">
      <c r="A22" s="1">
        <f t="shared" si="18"/>
        <v>1.25</v>
      </c>
      <c r="B22" s="1">
        <f t="shared" si="0"/>
        <v>5</v>
      </c>
      <c r="C22" s="1">
        <f t="shared" si="1"/>
        <v>1</v>
      </c>
      <c r="D22" s="1">
        <v>2.4</v>
      </c>
      <c r="F22" s="1">
        <v>1.8819999999999999</v>
      </c>
      <c r="G22" s="1">
        <v>0.43</v>
      </c>
      <c r="H22" s="1">
        <v>0.34200000000000003</v>
      </c>
      <c r="L22">
        <f t="shared" si="2"/>
        <v>1.8136842914091034</v>
      </c>
      <c r="M22" s="1">
        <f t="shared" si="3"/>
        <v>0.66208212608593464</v>
      </c>
      <c r="R22" s="1">
        <f t="shared" si="4"/>
        <v>0.25</v>
      </c>
      <c r="S22" s="1">
        <f t="shared" si="5"/>
        <v>0.11299999999999999</v>
      </c>
      <c r="T22">
        <v>0.25</v>
      </c>
      <c r="U22">
        <v>2.0699999999999998</v>
      </c>
      <c r="V22">
        <v>0.24099999999999999</v>
      </c>
      <c r="W22">
        <v>1.92</v>
      </c>
      <c r="X22">
        <f t="shared" si="6"/>
        <v>1.8047480620155039</v>
      </c>
      <c r="Y22" s="1">
        <f t="shared" si="7"/>
        <v>1.9573333333333334</v>
      </c>
      <c r="Z22" s="1">
        <f t="shared" si="8"/>
        <v>0.27766666666666667</v>
      </c>
      <c r="AA22">
        <f t="shared" si="9"/>
        <v>2.3255813953488373</v>
      </c>
      <c r="AC22">
        <f t="shared" si="10"/>
        <v>0.42454779174151192</v>
      </c>
      <c r="AD22">
        <f t="shared" si="11"/>
        <v>2.6659936019276724</v>
      </c>
      <c r="AE22">
        <f t="shared" si="12"/>
        <v>3.0905413936691843</v>
      </c>
      <c r="AF22">
        <f t="shared" si="13"/>
        <v>3.3373797556300615</v>
      </c>
      <c r="AG22">
        <f t="shared" si="14"/>
        <v>2.0106724223405643</v>
      </c>
      <c r="AH22">
        <f t="shared" si="15"/>
        <v>0.2630408885863238</v>
      </c>
      <c r="AI22">
        <f t="shared" si="16"/>
        <v>3.0743388670437377</v>
      </c>
      <c r="AK22">
        <v>0.84599999999999997</v>
      </c>
    </row>
    <row r="23" spans="1:37" x14ac:dyDescent="0.3">
      <c r="A23" s="1">
        <f t="shared" si="18"/>
        <v>1.125</v>
      </c>
      <c r="B23" s="1">
        <f t="shared" si="0"/>
        <v>4.5</v>
      </c>
      <c r="C23" s="1">
        <f t="shared" si="1"/>
        <v>1.5</v>
      </c>
      <c r="D23" s="1">
        <v>2.34</v>
      </c>
      <c r="F23" s="1">
        <v>1.627</v>
      </c>
      <c r="G23" s="1">
        <v>0.4</v>
      </c>
      <c r="H23" s="1">
        <v>0.32</v>
      </c>
      <c r="L23">
        <f t="shared" si="2"/>
        <v>2.4631499665778227</v>
      </c>
      <c r="M23" s="1">
        <f t="shared" si="3"/>
        <v>0.92765785811886103</v>
      </c>
      <c r="R23" s="1">
        <f t="shared" si="4"/>
        <v>0.18999999999999995</v>
      </c>
      <c r="S23" s="1">
        <f t="shared" si="5"/>
        <v>8.3000000000000018E-2</v>
      </c>
      <c r="T23">
        <v>0.22800000000000001</v>
      </c>
      <c r="U23">
        <v>1.774</v>
      </c>
      <c r="V23">
        <v>0.223</v>
      </c>
      <c r="W23">
        <v>1.6990000000000001</v>
      </c>
      <c r="X23">
        <f t="shared" si="6"/>
        <v>1.9114184814596822</v>
      </c>
      <c r="Y23" s="1">
        <f t="shared" si="7"/>
        <v>1.7</v>
      </c>
      <c r="Z23" s="1">
        <f t="shared" si="8"/>
        <v>0.25700000000000001</v>
      </c>
      <c r="AA23">
        <f t="shared" si="9"/>
        <v>2.5</v>
      </c>
      <c r="AC23">
        <f t="shared" si="10"/>
        <v>0.28588270495428425</v>
      </c>
      <c r="AD23">
        <f t="shared" si="11"/>
        <v>2.8739912321085139</v>
      </c>
      <c r="AE23">
        <f t="shared" si="12"/>
        <v>3.3028152895399403</v>
      </c>
      <c r="AF23">
        <f t="shared" si="13"/>
        <v>3.4689001999232234</v>
      </c>
      <c r="AG23">
        <f t="shared" si="14"/>
        <v>2.2525294285929851</v>
      </c>
      <c r="AH23">
        <f t="shared" si="15"/>
        <v>0.2630408885863238</v>
      </c>
      <c r="AI23">
        <f t="shared" si="16"/>
        <v>3.0743388670437377</v>
      </c>
      <c r="AK23">
        <v>0.82</v>
      </c>
    </row>
    <row r="24" spans="1:37" x14ac:dyDescent="0.3">
      <c r="A24" s="1">
        <f t="shared" si="18"/>
        <v>1</v>
      </c>
      <c r="B24" s="1">
        <f t="shared" si="0"/>
        <v>4</v>
      </c>
      <c r="C24" s="1">
        <f t="shared" si="1"/>
        <v>2</v>
      </c>
      <c r="D24" s="1">
        <v>2.3199999999999998</v>
      </c>
      <c r="F24" s="1">
        <v>1.484</v>
      </c>
      <c r="G24" s="1">
        <v>0.38</v>
      </c>
      <c r="H24" s="1">
        <v>0.311</v>
      </c>
      <c r="L24">
        <f t="shared" si="2"/>
        <v>2.8273601295155752</v>
      </c>
      <c r="M24" s="1">
        <f t="shared" si="3"/>
        <v>0.68452478391202942</v>
      </c>
      <c r="R24" s="1">
        <f t="shared" si="4"/>
        <v>0.16999999999999993</v>
      </c>
      <c r="S24" s="1">
        <f t="shared" si="5"/>
        <v>6.3E-2</v>
      </c>
      <c r="T24">
        <v>0.21</v>
      </c>
      <c r="U24">
        <v>1.63</v>
      </c>
      <c r="V24">
        <v>0.21299999999999999</v>
      </c>
      <c r="W24">
        <v>1.5629999999999999</v>
      </c>
      <c r="X24">
        <f t="shared" si="6"/>
        <v>1.9917836818533861</v>
      </c>
      <c r="Y24" s="1">
        <f t="shared" si="7"/>
        <v>1.5589999999999999</v>
      </c>
      <c r="Z24" s="1">
        <f t="shared" si="8"/>
        <v>0.24466666666666667</v>
      </c>
      <c r="AA24">
        <f t="shared" si="9"/>
        <v>2.6315789473684212</v>
      </c>
      <c r="AC24">
        <f t="shared" si="10"/>
        <v>0.29965303756694084</v>
      </c>
      <c r="AD24">
        <f t="shared" si="11"/>
        <v>2.8464505668832008</v>
      </c>
      <c r="AE24">
        <f t="shared" si="12"/>
        <v>3.4457566420170824</v>
      </c>
      <c r="AF24">
        <f t="shared" si="13"/>
        <v>3.6004206442163853</v>
      </c>
      <c r="AG24">
        <f t="shared" si="14"/>
        <v>2.4008712893159219</v>
      </c>
      <c r="AH24">
        <f t="shared" si="15"/>
        <v>0.2630408885863238</v>
      </c>
      <c r="AI24">
        <f t="shared" si="16"/>
        <v>3.0743388670437377</v>
      </c>
      <c r="AK24">
        <v>0.82299999999999995</v>
      </c>
    </row>
    <row r="25" spans="1:37" x14ac:dyDescent="0.3">
      <c r="A25" s="1">
        <f t="shared" si="18"/>
        <v>0.875</v>
      </c>
      <c r="B25" s="1">
        <f t="shared" si="0"/>
        <v>3.5</v>
      </c>
      <c r="C25" s="1">
        <f t="shared" si="1"/>
        <v>2.5</v>
      </c>
      <c r="D25" s="1">
        <v>2.2999999999999998</v>
      </c>
      <c r="F25" s="1">
        <v>1.38</v>
      </c>
      <c r="G25" s="1">
        <v>0.379</v>
      </c>
      <c r="H25" s="1">
        <v>0.3</v>
      </c>
      <c r="L25">
        <f t="shared" si="2"/>
        <v>3.0922402480157589</v>
      </c>
      <c r="M25" s="1">
        <f t="shared" si="3"/>
        <v>0.35074851136976765</v>
      </c>
      <c r="R25" s="1">
        <f t="shared" si="4"/>
        <v>0.14999999999999991</v>
      </c>
      <c r="S25" s="1">
        <f t="shared" si="5"/>
        <v>6.2E-2</v>
      </c>
      <c r="T25">
        <v>0.2</v>
      </c>
      <c r="U25">
        <v>1.49</v>
      </c>
      <c r="V25">
        <v>0.2</v>
      </c>
      <c r="W25">
        <v>1.4770000000000001</v>
      </c>
      <c r="X25">
        <f t="shared" si="6"/>
        <v>1.9614743570276338</v>
      </c>
      <c r="Y25" s="1">
        <f t="shared" si="7"/>
        <v>1.4490000000000001</v>
      </c>
      <c r="Z25" s="1">
        <f t="shared" si="8"/>
        <v>0.23333333333333331</v>
      </c>
      <c r="AA25">
        <f t="shared" si="9"/>
        <v>2.6385224274406331</v>
      </c>
      <c r="AC25">
        <f t="shared" si="10"/>
        <v>8.0763502960298439E-2</v>
      </c>
      <c r="AD25">
        <f t="shared" si="11"/>
        <v>3.3936744033998067</v>
      </c>
      <c r="AE25">
        <f t="shared" si="12"/>
        <v>3.5955831608005528</v>
      </c>
      <c r="AF25">
        <f t="shared" si="13"/>
        <v>3.7319410885095472</v>
      </c>
      <c r="AG25">
        <f t="shared" si="14"/>
        <v>2.5576594300423316</v>
      </c>
      <c r="AH25">
        <f t="shared" si="15"/>
        <v>0.2630408885863238</v>
      </c>
      <c r="AI25">
        <f t="shared" si="16"/>
        <v>3.0743388670437377</v>
      </c>
      <c r="AK25">
        <v>0.81499999999999995</v>
      </c>
    </row>
    <row r="26" spans="1:37" x14ac:dyDescent="0.3">
      <c r="A26" s="1">
        <f t="shared" si="18"/>
        <v>0.75</v>
      </c>
      <c r="B26" s="1">
        <f t="shared" si="0"/>
        <v>3</v>
      </c>
      <c r="C26" s="1">
        <f t="shared" si="1"/>
        <v>3</v>
      </c>
      <c r="D26" s="1">
        <v>2.2599999999999998</v>
      </c>
      <c r="F26" s="1">
        <v>1.27</v>
      </c>
      <c r="G26" s="1">
        <v>0.36099999999999999</v>
      </c>
      <c r="H26" s="1">
        <v>0.29199999999999998</v>
      </c>
      <c r="L26">
        <f t="shared" si="2"/>
        <v>3.3724019118140296</v>
      </c>
      <c r="M26" s="1">
        <f t="shared" si="3"/>
        <v>0.13868318392274429</v>
      </c>
      <c r="R26" s="1">
        <f t="shared" si="4"/>
        <v>0.10999999999999988</v>
      </c>
      <c r="S26" s="1">
        <f t="shared" si="5"/>
        <v>4.3999999999999984E-2</v>
      </c>
      <c r="T26">
        <v>0.19600000000000001</v>
      </c>
      <c r="U26">
        <v>1.37</v>
      </c>
      <c r="V26">
        <v>0.19600000000000001</v>
      </c>
      <c r="W26">
        <v>1.36</v>
      </c>
      <c r="X26">
        <f t="shared" si="6"/>
        <v>2.0347889848460161</v>
      </c>
      <c r="Y26" s="1">
        <f t="shared" si="7"/>
        <v>1.3333333333333333</v>
      </c>
      <c r="Z26" s="1">
        <f t="shared" si="8"/>
        <v>0.22799999999999998</v>
      </c>
      <c r="AA26">
        <f t="shared" si="9"/>
        <v>2.770083102493075</v>
      </c>
      <c r="AC26">
        <f t="shared" si="10"/>
        <v>0.3265370598434707</v>
      </c>
      <c r="AD26">
        <f t="shared" si="11"/>
        <v>2.65635373275029</v>
      </c>
      <c r="AE26">
        <f t="shared" si="12"/>
        <v>3.6359649122807021</v>
      </c>
      <c r="AF26">
        <f t="shared" si="13"/>
        <v>3.8634615328027091</v>
      </c>
      <c r="AG26">
        <f t="shared" si="14"/>
        <v>2.5733964810635515</v>
      </c>
      <c r="AH26">
        <f t="shared" si="15"/>
        <v>0.2630408885863238</v>
      </c>
      <c r="AI26">
        <f t="shared" si="16"/>
        <v>3.0743388670437377</v>
      </c>
      <c r="AK26">
        <v>0.80700000000000005</v>
      </c>
    </row>
    <row r="27" spans="1:37" x14ac:dyDescent="0.3">
      <c r="A27" s="1">
        <f t="shared" si="18"/>
        <v>0.625</v>
      </c>
      <c r="B27" s="1">
        <f t="shared" si="0"/>
        <v>2.5</v>
      </c>
      <c r="C27" s="1">
        <f t="shared" si="1"/>
        <v>3.5</v>
      </c>
      <c r="D27" s="1">
        <v>2.23</v>
      </c>
      <c r="F27" s="1">
        <v>1.1879999999999999</v>
      </c>
      <c r="G27" s="1">
        <v>0.34499999999999997</v>
      </c>
      <c r="H27" s="1">
        <v>0.28100000000000003</v>
      </c>
      <c r="L27">
        <f t="shared" si="2"/>
        <v>3.5812496975545591</v>
      </c>
      <c r="M27" s="1">
        <f t="shared" si="3"/>
        <v>6.6015133527073319E-3</v>
      </c>
      <c r="R27" s="1">
        <f t="shared" si="4"/>
        <v>8.0000000000000071E-2</v>
      </c>
      <c r="S27" s="1">
        <f t="shared" si="5"/>
        <v>2.7999999999999969E-2</v>
      </c>
      <c r="T27">
        <v>0.185</v>
      </c>
      <c r="U27">
        <v>1.26</v>
      </c>
      <c r="V27">
        <v>0.185</v>
      </c>
      <c r="W27">
        <v>1.26</v>
      </c>
      <c r="X27">
        <f t="shared" si="6"/>
        <v>2.1048999309868881</v>
      </c>
      <c r="Y27" s="1">
        <f t="shared" si="7"/>
        <v>1.236</v>
      </c>
      <c r="Z27" s="1">
        <f t="shared" si="8"/>
        <v>0.217</v>
      </c>
      <c r="AA27">
        <f t="shared" si="9"/>
        <v>2.8985507246376816</v>
      </c>
      <c r="AC27">
        <f t="shared" si="10"/>
        <v>0.36104254297723237</v>
      </c>
      <c r="AD27">
        <f t="shared" si="11"/>
        <v>2.5355845417821241</v>
      </c>
      <c r="AE27">
        <f t="shared" si="12"/>
        <v>3.7992334422024374</v>
      </c>
      <c r="AF27">
        <f t="shared" si="13"/>
        <v>3.994981977095871</v>
      </c>
      <c r="AG27">
        <f t="shared" si="14"/>
        <v>2.74771027631349</v>
      </c>
      <c r="AH27">
        <f t="shared" si="15"/>
        <v>0.2630408885863238</v>
      </c>
      <c r="AI27">
        <f t="shared" si="16"/>
        <v>3.0743388670437377</v>
      </c>
      <c r="AK27">
        <v>0.79900000000000004</v>
      </c>
    </row>
    <row r="28" spans="1:37" x14ac:dyDescent="0.3">
      <c r="A28" s="1">
        <f t="shared" si="18"/>
        <v>0.5</v>
      </c>
      <c r="B28" s="1">
        <f t="shared" si="0"/>
        <v>2</v>
      </c>
      <c r="C28" s="1">
        <f t="shared" si="1"/>
        <v>4</v>
      </c>
      <c r="D28" s="1">
        <v>2.2189999999999999</v>
      </c>
      <c r="F28" s="1">
        <v>1.1439999999999999</v>
      </c>
      <c r="G28" s="1">
        <v>0.33800000000000002</v>
      </c>
      <c r="H28" s="1">
        <v>0.26</v>
      </c>
      <c r="L28">
        <f t="shared" si="2"/>
        <v>3.6933143630738678</v>
      </c>
      <c r="M28" s="1">
        <f t="shared" si="3"/>
        <v>9.4056079896787353E-2</v>
      </c>
      <c r="R28" s="1">
        <f t="shared" si="4"/>
        <v>6.899999999999995E-2</v>
      </c>
      <c r="S28" s="1">
        <f t="shared" si="5"/>
        <v>2.1000000000000019E-2</v>
      </c>
      <c r="T28">
        <v>0.18</v>
      </c>
      <c r="U28">
        <v>1.2190000000000001</v>
      </c>
      <c r="V28">
        <v>0.183</v>
      </c>
      <c r="W28">
        <v>1.2270000000000001</v>
      </c>
      <c r="X28">
        <f t="shared" si="6"/>
        <v>2.1435839566364301</v>
      </c>
      <c r="Y28" s="1">
        <f t="shared" si="7"/>
        <v>1.1966666666666665</v>
      </c>
      <c r="Z28" s="1">
        <f t="shared" si="8"/>
        <v>0.20766666666666667</v>
      </c>
      <c r="AA28">
        <f t="shared" si="9"/>
        <v>2.9585798816568047</v>
      </c>
      <c r="AC28">
        <f t="shared" si="10"/>
        <v>0.1103498837274639</v>
      </c>
      <c r="AD28">
        <f t="shared" si="11"/>
        <v>3.538355178781198</v>
      </c>
      <c r="AE28">
        <f t="shared" si="12"/>
        <v>3.9797547136910536</v>
      </c>
      <c r="AF28">
        <f t="shared" si="13"/>
        <v>4.1265024213890324</v>
      </c>
      <c r="AG28">
        <f t="shared" si="14"/>
        <v>2.9428811578427143</v>
      </c>
      <c r="AH28">
        <f t="shared" si="15"/>
        <v>0.2630408885863238</v>
      </c>
      <c r="AI28">
        <f t="shared" si="16"/>
        <v>3.0743388670437377</v>
      </c>
      <c r="AK28">
        <v>0.79700000000000004</v>
      </c>
    </row>
    <row r="29" spans="1:37" x14ac:dyDescent="0.3">
      <c r="A29" s="1">
        <f t="shared" si="18"/>
        <v>0.375</v>
      </c>
      <c r="B29" s="1">
        <f t="shared" si="0"/>
        <v>1.5</v>
      </c>
      <c r="C29" s="1">
        <f t="shared" si="1"/>
        <v>4.5</v>
      </c>
      <c r="D29" s="1">
        <v>2.2000000000000002</v>
      </c>
      <c r="F29" s="1">
        <v>1.125</v>
      </c>
      <c r="G29" s="1">
        <v>0.33</v>
      </c>
      <c r="H29" s="1">
        <v>0.26</v>
      </c>
      <c r="L29">
        <f t="shared" si="2"/>
        <v>3.7417059231844783</v>
      </c>
      <c r="M29" s="1">
        <f t="shared" si="3"/>
        <v>0.5750099069335044</v>
      </c>
      <c r="R29" s="1">
        <f t="shared" si="4"/>
        <v>5.0000000000000266E-2</v>
      </c>
      <c r="S29" s="1">
        <f t="shared" si="5"/>
        <v>1.3000000000000012E-2</v>
      </c>
      <c r="T29">
        <v>0.17699999999999999</v>
      </c>
      <c r="U29">
        <v>1.2</v>
      </c>
      <c r="V29">
        <v>0.17699999999999999</v>
      </c>
      <c r="W29">
        <v>1.2</v>
      </c>
      <c r="X29">
        <f t="shared" si="6"/>
        <v>2.1969696969696968</v>
      </c>
      <c r="Y29" s="1">
        <f t="shared" si="7"/>
        <v>1.175</v>
      </c>
      <c r="Z29" s="1">
        <f t="shared" si="8"/>
        <v>0.20466666666666666</v>
      </c>
      <c r="AA29">
        <f t="shared" si="9"/>
        <v>3.0303030303030303</v>
      </c>
      <c r="AC29">
        <f t="shared" si="10"/>
        <v>0.15377074007336411</v>
      </c>
      <c r="AD29">
        <f t="shared" si="11"/>
        <v>3.3429613252246471</v>
      </c>
      <c r="AE29">
        <f t="shared" si="12"/>
        <v>4.0349296555547856</v>
      </c>
      <c r="AF29">
        <f t="shared" si="13"/>
        <v>4.2580228656821948</v>
      </c>
      <c r="AG29">
        <f t="shared" si="14"/>
        <v>2.9796391724058955</v>
      </c>
      <c r="AH29">
        <f t="shared" si="15"/>
        <v>0.2630408885863238</v>
      </c>
      <c r="AI29">
        <f t="shared" si="16"/>
        <v>3.0743388670437377</v>
      </c>
      <c r="AK29">
        <v>0.78800000000000003</v>
      </c>
    </row>
    <row r="30" spans="1:37" x14ac:dyDescent="0.3">
      <c r="A30" s="1">
        <f t="shared" si="18"/>
        <v>0.25</v>
      </c>
      <c r="B30" s="1">
        <f t="shared" si="0"/>
        <v>1</v>
      </c>
      <c r="C30" s="1">
        <f t="shared" si="1"/>
        <v>5</v>
      </c>
      <c r="D30" s="1">
        <v>2.1800000000000002</v>
      </c>
      <c r="F30" s="1">
        <v>1.1000000000000001</v>
      </c>
      <c r="G30" s="1">
        <v>0.32500000000000001</v>
      </c>
      <c r="H30" s="1">
        <v>0.253</v>
      </c>
      <c r="L30">
        <f t="shared" si="2"/>
        <v>3.8053790285931757</v>
      </c>
      <c r="M30" s="1">
        <f t="shared" si="3"/>
        <v>1.4271192653249847</v>
      </c>
      <c r="R30" s="1">
        <f t="shared" si="4"/>
        <v>3.0000000000000249E-2</v>
      </c>
      <c r="S30" s="1">
        <f t="shared" si="5"/>
        <v>8.0000000000000071E-3</v>
      </c>
      <c r="T30">
        <v>0.17499999999999999</v>
      </c>
      <c r="U30">
        <v>1.1850000000000001</v>
      </c>
      <c r="V30">
        <v>0.17499999999999999</v>
      </c>
      <c r="W30">
        <v>1.19</v>
      </c>
      <c r="X30">
        <f t="shared" si="6"/>
        <v>2.236586942469295</v>
      </c>
      <c r="Y30" s="1">
        <f t="shared" si="7"/>
        <v>1.1583333333333334</v>
      </c>
      <c r="Z30" s="1">
        <f t="shared" si="8"/>
        <v>0.20099999999999998</v>
      </c>
      <c r="AA30">
        <f t="shared" si="9"/>
        <v>3.0769230769230766</v>
      </c>
      <c r="AC30">
        <f t="shared" si="10"/>
        <v>0.22298795329986909</v>
      </c>
      <c r="AD30">
        <f t="shared" si="11"/>
        <v>2.9968752590921222</v>
      </c>
      <c r="AE30">
        <f t="shared" si="12"/>
        <v>4.1118150255914676</v>
      </c>
      <c r="AF30">
        <f t="shared" si="13"/>
        <v>4.3895433099753571</v>
      </c>
      <c r="AG30">
        <f t="shared" si="14"/>
        <v>3.044271061999881</v>
      </c>
      <c r="AH30">
        <f t="shared" si="15"/>
        <v>0.2630408885863238</v>
      </c>
      <c r="AI30">
        <f t="shared" si="16"/>
        <v>3.0743388670437377</v>
      </c>
      <c r="AK30">
        <v>0.78300000000000003</v>
      </c>
    </row>
    <row r="31" spans="1:37" x14ac:dyDescent="0.3">
      <c r="A31" s="1">
        <f t="shared" si="18"/>
        <v>0.125</v>
      </c>
      <c r="B31" s="1">
        <f t="shared" si="0"/>
        <v>0.5</v>
      </c>
      <c r="C31" s="1">
        <f t="shared" si="1"/>
        <v>5.5</v>
      </c>
      <c r="D31" s="1">
        <v>2.16</v>
      </c>
      <c r="F31" s="1">
        <v>1.0900000000000001</v>
      </c>
      <c r="G31" s="1">
        <v>0.31900000000000001</v>
      </c>
      <c r="H31" s="1">
        <v>0.246</v>
      </c>
      <c r="L31">
        <f t="shared" si="2"/>
        <v>3.8308482707566549</v>
      </c>
      <c r="M31" s="1">
        <f t="shared" si="3"/>
        <v>2.7860674952360491</v>
      </c>
      <c r="R31" s="1">
        <f t="shared" si="4"/>
        <v>1.0000000000000231E-2</v>
      </c>
      <c r="S31" s="1">
        <f t="shared" si="5"/>
        <v>2.0000000000000018E-3</v>
      </c>
      <c r="T31">
        <v>0.17</v>
      </c>
      <c r="U31">
        <v>1.175</v>
      </c>
      <c r="V31">
        <v>0.17299999999999999</v>
      </c>
      <c r="W31">
        <v>1.1830000000000001</v>
      </c>
      <c r="X31">
        <f t="shared" si="6"/>
        <v>2.2894877006282841</v>
      </c>
      <c r="Y31" s="1">
        <f t="shared" si="7"/>
        <v>1.1493333333333335</v>
      </c>
      <c r="Z31" s="1">
        <f t="shared" si="8"/>
        <v>0.19633333333333333</v>
      </c>
      <c r="AA31">
        <f t="shared" si="9"/>
        <v>3.134796238244514</v>
      </c>
      <c r="AC31">
        <f t="shared" si="10"/>
        <v>0.13867878993523419</v>
      </c>
      <c r="AD31">
        <f t="shared" si="11"/>
        <v>3.4605756575976141</v>
      </c>
      <c r="AE31">
        <f t="shared" si="12"/>
        <v>4.2233090022414022</v>
      </c>
      <c r="AF31">
        <f t="shared" si="13"/>
        <v>4.5210637542685186</v>
      </c>
      <c r="AG31">
        <f t="shared" si="14"/>
        <v>3.1528062869844575</v>
      </c>
      <c r="AH31">
        <f t="shared" si="15"/>
        <v>0.2630408885863238</v>
      </c>
      <c r="AI31">
        <f t="shared" si="16"/>
        <v>3.0743388670437377</v>
      </c>
      <c r="AK31">
        <v>0.77200000000000002</v>
      </c>
    </row>
    <row r="32" spans="1:37" x14ac:dyDescent="0.3">
      <c r="A32" s="1">
        <f t="shared" si="18"/>
        <v>0</v>
      </c>
      <c r="B32" s="1">
        <f t="shared" si="0"/>
        <v>0</v>
      </c>
      <c r="C32" s="1">
        <f t="shared" si="1"/>
        <v>6</v>
      </c>
      <c r="D32" s="1">
        <v>2.1480000000000001</v>
      </c>
      <c r="F32" s="1">
        <v>1.08</v>
      </c>
      <c r="H32" s="1">
        <v>0.24</v>
      </c>
      <c r="L32">
        <f t="shared" si="2"/>
        <v>3.8563175129201341</v>
      </c>
      <c r="M32" s="1">
        <f t="shared" si="3"/>
        <v>4.5953746054129194</v>
      </c>
      <c r="R32" s="1">
        <f t="shared" si="4"/>
        <v>-1.9999999999997797E-3</v>
      </c>
      <c r="S32" s="1"/>
      <c r="T32">
        <v>0.17</v>
      </c>
      <c r="U32">
        <v>1.1599999999999999</v>
      </c>
      <c r="V32">
        <v>0.17</v>
      </c>
      <c r="W32">
        <v>1.17</v>
      </c>
      <c r="X32" t="e">
        <f t="shared" si="6"/>
        <v>#DIV/0!</v>
      </c>
      <c r="Y32" s="1">
        <f t="shared" si="7"/>
        <v>1.1366666666666667</v>
      </c>
      <c r="Z32" s="1">
        <f t="shared" si="8"/>
        <v>0.19333333333333336</v>
      </c>
      <c r="AA32" t="e">
        <f t="shared" si="9"/>
        <v>#DIV/0!</v>
      </c>
      <c r="AC32" t="e">
        <f t="shared" si="10"/>
        <v>#DIV/0!</v>
      </c>
      <c r="AD32" t="e">
        <f t="shared" si="11"/>
        <v>#DIV/0!</v>
      </c>
      <c r="AE32">
        <f t="shared" si="12"/>
        <v>4.2926483972090193</v>
      </c>
      <c r="AF32">
        <f t="shared" si="13"/>
        <v>4.65258419856168</v>
      </c>
      <c r="AG32">
        <f t="shared" si="14"/>
        <v>3.2087990417419645</v>
      </c>
      <c r="AH32">
        <f t="shared" si="15"/>
        <v>0.2630408885863238</v>
      </c>
      <c r="AI32">
        <f t="shared" si="16"/>
        <v>3.0743388670437377</v>
      </c>
      <c r="AK32">
        <v>0.76900000000000002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CHABERT Lucas</dc:creator>
  <cp:lastModifiedBy>CHABERT Lucas</cp:lastModifiedBy>
  <dcterms:created xsi:type="dcterms:W3CDTF">2026-06-12T11:35:04Z</dcterms:created>
  <dcterms:modified xsi:type="dcterms:W3CDTF">2026-06-23T08:37:40Z</dcterms:modified>
</cp:coreProperties>
</file>