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tage_Lucas_Chabert\Donné\"/>
    </mc:Choice>
  </mc:AlternateContent>
  <xr:revisionPtr revIDLastSave="0" documentId="13_ncr:1_{EB4329D5-C9C9-42B1-8158-0784150789C3}" xr6:coauthVersionLast="47" xr6:coauthVersionMax="47" xr10:uidLastSave="{00000000-0000-0000-0000-000000000000}"/>
  <bookViews>
    <workbookView xWindow="-108" yWindow="-108" windowWidth="23256" windowHeight="12576" xr2:uid="{EEEFC58F-7EA2-451A-9A53-CFDF5F211B26}"/>
  </bookViews>
  <sheets>
    <sheet name="Sheet1" sheetId="1" r:id="rId1"/>
  </sheets>
  <definedNames>
    <definedName name="solver_adj" localSheetId="0" hidden="1">Sheet1!$O$2:$P$2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Sheet1!$O$2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Sheet1!$N$2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hs1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A19" i="1" l="1"/>
  <c r="B19" i="1" s="1"/>
  <c r="C19" i="1" s="1"/>
  <c r="M19" i="1" s="1"/>
  <c r="A3" i="1"/>
  <c r="B3" i="1" s="1"/>
  <c r="C3" i="1" s="1"/>
  <c r="M3" i="1" s="1"/>
  <c r="B18" i="1"/>
  <c r="C18" i="1" s="1"/>
  <c r="M18" i="1" s="1"/>
  <c r="B2" i="1"/>
  <c r="C2" i="1" s="1"/>
  <c r="M2" i="1" s="1"/>
  <c r="A20" i="1" l="1"/>
  <c r="B20" i="1" s="1"/>
  <c r="C20" i="1" s="1"/>
  <c r="M20" i="1" s="1"/>
  <c r="A4" i="1"/>
  <c r="A21" i="1" l="1"/>
  <c r="A22" i="1" s="1"/>
  <c r="B4" i="1"/>
  <c r="C4" i="1" s="1"/>
  <c r="M4" i="1" s="1"/>
  <c r="A5" i="1"/>
  <c r="B21" i="1" l="1"/>
  <c r="C21" i="1" s="1"/>
  <c r="M21" i="1" s="1"/>
  <c r="A6" i="1"/>
  <c r="B5" i="1"/>
  <c r="C5" i="1" s="1"/>
  <c r="M5" i="1" s="1"/>
  <c r="A23" i="1"/>
  <c r="B22" i="1"/>
  <c r="C22" i="1" s="1"/>
  <c r="M22" i="1" s="1"/>
  <c r="B6" i="1" l="1"/>
  <c r="C6" i="1" s="1"/>
  <c r="M6" i="1" s="1"/>
  <c r="A7" i="1"/>
  <c r="B23" i="1"/>
  <c r="C23" i="1" s="1"/>
  <c r="M23" i="1" s="1"/>
  <c r="A24" i="1"/>
  <c r="A8" i="1" l="1"/>
  <c r="B7" i="1"/>
  <c r="C7" i="1" s="1"/>
  <c r="M7" i="1" s="1"/>
  <c r="A25" i="1"/>
  <c r="B24" i="1"/>
  <c r="C24" i="1" s="1"/>
  <c r="M24" i="1" s="1"/>
  <c r="B8" i="1" l="1"/>
  <c r="C8" i="1" s="1"/>
  <c r="M8" i="1" s="1"/>
  <c r="A9" i="1"/>
  <c r="A26" i="1"/>
  <c r="B25" i="1"/>
  <c r="C25" i="1" s="1"/>
  <c r="M25" i="1" s="1"/>
  <c r="A10" i="1" l="1"/>
  <c r="B9" i="1"/>
  <c r="C9" i="1" s="1"/>
  <c r="M9" i="1" s="1"/>
  <c r="A27" i="1"/>
  <c r="B26" i="1"/>
  <c r="C26" i="1" s="1"/>
  <c r="M26" i="1" s="1"/>
  <c r="B10" i="1" l="1"/>
  <c r="C10" i="1" s="1"/>
  <c r="M10" i="1" s="1"/>
  <c r="A11" i="1"/>
  <c r="B27" i="1"/>
  <c r="C27" i="1" s="1"/>
  <c r="M27" i="1" s="1"/>
  <c r="A28" i="1"/>
  <c r="A12" i="1" l="1"/>
  <c r="B11" i="1"/>
  <c r="C11" i="1" s="1"/>
  <c r="M11" i="1" s="1"/>
  <c r="B28" i="1"/>
  <c r="C28" i="1" s="1"/>
  <c r="M28" i="1" s="1"/>
  <c r="A29" i="1"/>
  <c r="A13" i="1" l="1"/>
  <c r="B12" i="1"/>
  <c r="C12" i="1" s="1"/>
  <c r="M12" i="1" s="1"/>
  <c r="A30" i="1"/>
  <c r="B29" i="1"/>
  <c r="C29" i="1" s="1"/>
  <c r="M29" i="1" s="1"/>
  <c r="A14" i="1" l="1"/>
  <c r="B13" i="1"/>
  <c r="C13" i="1" s="1"/>
  <c r="M13" i="1" s="1"/>
  <c r="A31" i="1"/>
  <c r="B30" i="1"/>
  <c r="C30" i="1" s="1"/>
  <c r="M30" i="1" s="1"/>
  <c r="A15" i="1" l="1"/>
  <c r="B14" i="1"/>
  <c r="C14" i="1" s="1"/>
  <c r="M14" i="1" s="1"/>
  <c r="B31" i="1"/>
  <c r="C31" i="1" s="1"/>
  <c r="M31" i="1" s="1"/>
  <c r="A32" i="1"/>
  <c r="B32" i="1" s="1"/>
  <c r="C32" i="1" s="1"/>
  <c r="M32" i="1" s="1"/>
  <c r="B15" i="1" l="1"/>
  <c r="C15" i="1" s="1"/>
  <c r="M15" i="1" s="1"/>
  <c r="A16" i="1"/>
  <c r="B16" i="1" l="1"/>
  <c r="C16" i="1" s="1"/>
  <c r="M16" i="1" s="1"/>
  <c r="A17" i="1"/>
  <c r="B17" i="1" s="1"/>
  <c r="C17" i="1" s="1"/>
  <c r="M17" i="1" s="1"/>
  <c r="N2" i="1" l="1"/>
</calcChain>
</file>

<file path=xl/sharedStrings.xml><?xml version="1.0" encoding="utf-8"?>
<sst xmlns="http://schemas.openxmlformats.org/spreadsheetml/2006/main" count="19" uniqueCount="19">
  <si>
    <t>Tour</t>
  </si>
  <si>
    <t>distance_ref</t>
  </si>
  <si>
    <t>Distance_diminué</t>
  </si>
  <si>
    <t xml:space="preserve">d </t>
  </si>
  <si>
    <t>C1  pF</t>
  </si>
  <si>
    <t>C2 avec C1 pF</t>
  </si>
  <si>
    <t>Modele : d=K*C1</t>
  </si>
  <si>
    <t>K</t>
  </si>
  <si>
    <t>Erreur</t>
  </si>
  <si>
    <t>Somme erreur</t>
  </si>
  <si>
    <t>K1</t>
  </si>
  <si>
    <t>Capacité C2 sans C1 et C1 débranchépF</t>
  </si>
  <si>
    <t>C2 sans C1 et C1 branché</t>
  </si>
  <si>
    <t>Delta C2 1</t>
  </si>
  <si>
    <t>Delta C2 2</t>
  </si>
  <si>
    <t>C1 (2)</t>
  </si>
  <si>
    <t>C2 avce C1 (2)</t>
  </si>
  <si>
    <t>C2 avce C1 (3)</t>
  </si>
  <si>
    <t>C1(3)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</si>
</sst>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04403-9123-4789-897E-4074D25BBD8D}">
  <dimension ref="A1:W32"/>
  <sheetViews>
    <sheetView tabSelected="1" topLeftCell="D1" zoomScale="85" zoomScaleNormal="85" workbookViewId="0">
      <selection activeCell="V1" sqref="V1"/>
    </sheetView>
  </sheetViews>
  <sheetFormatPr defaultRowHeight="14.4" x14ac:dyDescent="0.3"/>
  <cols>
    <col min="1" max="2" width="8.77734375" style="1"/>
    <col min="4" max="4" width="18.6640625" style="1" customWidth="1"/>
    <col min="5" max="5" width="17.109375" style="1" customWidth="1"/>
    <col min="6" max="6" width="6.33203125" style="1" bestFit="1" customWidth="1"/>
    <col min="7" max="7" width="20.21875" style="1" bestFit="1" customWidth="1"/>
    <col min="8" max="8" width="13" style="1" bestFit="1" customWidth="1"/>
    <col min="9" max="11" width="8.77734375" style="1"/>
    <col min="12" max="12" width="17" customWidth="1"/>
    <col min="14" max="14" width="19.33203125" customWidth="1"/>
    <col min="20" max="20" width="22.77734375" bestFit="1" customWidth="1"/>
    <col min="21" max="21" width="8.77734375" customWidth="1"/>
    <col min="22" max="22" width="13.109375" bestFit="1" customWidth="1"/>
  </cols>
  <sheetData>
    <row r="1" spans="1:23" x14ac:dyDescent="0.3">
      <c r="A1" t="s">
        <v>0</v>
      </c>
      <c r="B1" t="s">
        <v>2</v>
      </c>
      <c r="C1" t="s">
        <v>3</v>
      </c>
      <c r="D1" t="s">
        <v>11</v>
      </c>
      <c r="E1"/>
      <c r="F1" t="s">
        <v>4</v>
      </c>
      <c r="G1" t="s">
        <v>12</v>
      </c>
      <c r="H1" t="s">
        <v>5</v>
      </c>
      <c r="I1"/>
      <c r="J1" t="s">
        <v>1</v>
      </c>
      <c r="K1"/>
      <c r="L1" t="s">
        <v>6</v>
      </c>
      <c r="M1" t="s">
        <v>8</v>
      </c>
      <c r="N1" t="s">
        <v>9</v>
      </c>
      <c r="O1" t="s">
        <v>7</v>
      </c>
      <c r="P1" t="s">
        <v>10</v>
      </c>
      <c r="R1" t="s">
        <v>13</v>
      </c>
      <c r="S1" t="s">
        <v>14</v>
      </c>
      <c r="T1" t="s">
        <v>16</v>
      </c>
      <c r="U1" t="s">
        <v>15</v>
      </c>
      <c r="V1" t="s">
        <v>17</v>
      </c>
      <c r="W1" t="s">
        <v>18</v>
      </c>
    </row>
    <row r="2" spans="1:23" x14ac:dyDescent="0.3">
      <c r="A2" s="1">
        <v>0</v>
      </c>
      <c r="B2" s="1">
        <f t="shared" ref="B2:B32" si="0">A2 * 4</f>
        <v>0</v>
      </c>
      <c r="C2" s="1">
        <f t="shared" ref="C2:C32" si="1" xml:space="preserve"> 6 - B2</f>
        <v>6</v>
      </c>
      <c r="D2" s="1">
        <v>2.15</v>
      </c>
      <c r="F2" s="1">
        <v>1.07</v>
      </c>
      <c r="G2" s="1">
        <v>0.317</v>
      </c>
      <c r="H2" s="1">
        <v>0.23</v>
      </c>
      <c r="J2" s="1">
        <v>36.93</v>
      </c>
      <c r="L2">
        <f>$O$2*F2+$P$2</f>
        <v>3.8817867550836134</v>
      </c>
      <c r="M2" s="1">
        <f>(L2-C2)^2</f>
        <v>4.4868273509392083</v>
      </c>
      <c r="N2" s="1">
        <f>SUM(M2:M32)</f>
        <v>41.946508144552844</v>
      </c>
      <c r="O2">
        <v>-2.5469242163479193</v>
      </c>
      <c r="P2">
        <v>6.6069956665758873</v>
      </c>
      <c r="R2" s="1">
        <f xml:space="preserve">  D2 - $D$2</f>
        <v>0</v>
      </c>
      <c r="S2" s="1">
        <f>G2-$G$2</f>
        <v>0</v>
      </c>
      <c r="T2">
        <v>0.17</v>
      </c>
      <c r="U2">
        <v>1.1599999999999999</v>
      </c>
      <c r="V2">
        <v>0.17</v>
      </c>
      <c r="W2">
        <v>1.167</v>
      </c>
    </row>
    <row r="3" spans="1:23" x14ac:dyDescent="0.3">
      <c r="A3" s="1">
        <f>1/8+A2</f>
        <v>0.125</v>
      </c>
      <c r="B3" s="1">
        <f t="shared" si="0"/>
        <v>0.5</v>
      </c>
      <c r="C3" s="1">
        <f t="shared" si="1"/>
        <v>5.5</v>
      </c>
      <c r="D3" s="1">
        <v>2.16</v>
      </c>
      <c r="F3" s="1">
        <v>1.07</v>
      </c>
      <c r="G3" s="1">
        <v>0.317</v>
      </c>
      <c r="H3" s="1">
        <v>0.23</v>
      </c>
      <c r="L3">
        <f t="shared" ref="L3:L32" si="2">$O$2*F3+$P$2</f>
        <v>3.8817867550836134</v>
      </c>
      <c r="M3" s="1">
        <f t="shared" ref="M3:M32" si="3">(L3-C3)^2</f>
        <v>2.6186141060228216</v>
      </c>
      <c r="R3" s="1">
        <f t="shared" ref="R3:R32" si="4" xml:space="preserve">  D3 - $D$2</f>
        <v>1.0000000000000231E-2</v>
      </c>
      <c r="S3" s="1">
        <f t="shared" ref="S3:S31" si="5">G3-$G$2</f>
        <v>0</v>
      </c>
      <c r="T3">
        <v>0.17</v>
      </c>
      <c r="U3">
        <v>1.1599999999999999</v>
      </c>
      <c r="V3">
        <v>0.17</v>
      </c>
      <c r="W3">
        <v>1.167</v>
      </c>
    </row>
    <row r="4" spans="1:23" x14ac:dyDescent="0.3">
      <c r="A4" s="1">
        <f t="shared" ref="A4:A17" si="6">1/8+A3</f>
        <v>0.25</v>
      </c>
      <c r="B4" s="1">
        <f t="shared" si="0"/>
        <v>1</v>
      </c>
      <c r="C4" s="1">
        <f t="shared" si="1"/>
        <v>5</v>
      </c>
      <c r="D4" s="1">
        <v>2.1680000000000001</v>
      </c>
      <c r="F4" s="1">
        <v>1.08</v>
      </c>
      <c r="G4" s="1">
        <v>0.318</v>
      </c>
      <c r="H4" s="1">
        <v>0.24</v>
      </c>
      <c r="L4">
        <f t="shared" si="2"/>
        <v>3.8563175129201341</v>
      </c>
      <c r="M4" s="1">
        <f t="shared" si="3"/>
        <v>1.3080096312531875</v>
      </c>
      <c r="R4" s="1">
        <f t="shared" si="4"/>
        <v>1.8000000000000238E-2</v>
      </c>
      <c r="S4" s="1">
        <f t="shared" si="5"/>
        <v>1.0000000000000009E-3</v>
      </c>
      <c r="T4">
        <v>0.17</v>
      </c>
      <c r="U4">
        <v>1.1639999999999999</v>
      </c>
      <c r="V4">
        <v>0.17</v>
      </c>
      <c r="W4">
        <v>1.17</v>
      </c>
    </row>
    <row r="5" spans="1:23" x14ac:dyDescent="0.3">
      <c r="A5" s="1">
        <f t="shared" si="6"/>
        <v>0.375</v>
      </c>
      <c r="B5" s="1">
        <f t="shared" si="0"/>
        <v>1.5</v>
      </c>
      <c r="C5" s="1">
        <f t="shared" si="1"/>
        <v>4.5</v>
      </c>
      <c r="D5" s="1">
        <v>2.1880000000000002</v>
      </c>
      <c r="F5" s="1">
        <v>1.0900000000000001</v>
      </c>
      <c r="G5" s="1">
        <v>0.32400000000000001</v>
      </c>
      <c r="H5" s="1">
        <v>0.25</v>
      </c>
      <c r="L5">
        <f t="shared" si="2"/>
        <v>3.8308482707566549</v>
      </c>
      <c r="M5" s="1">
        <f t="shared" si="3"/>
        <v>0.447764036749359</v>
      </c>
      <c r="R5" s="1">
        <f t="shared" si="4"/>
        <v>3.8000000000000256E-2</v>
      </c>
      <c r="S5" s="1">
        <f t="shared" si="5"/>
        <v>7.0000000000000062E-3</v>
      </c>
      <c r="T5">
        <v>0.17199999999999999</v>
      </c>
      <c r="U5">
        <v>1.175</v>
      </c>
      <c r="V5">
        <v>0.17399999999999999</v>
      </c>
      <c r="W5">
        <v>1.18</v>
      </c>
    </row>
    <row r="6" spans="1:23" x14ac:dyDescent="0.3">
      <c r="A6" s="1">
        <f t="shared" si="6"/>
        <v>0.5</v>
      </c>
      <c r="B6" s="1">
        <f t="shared" si="0"/>
        <v>2</v>
      </c>
      <c r="C6" s="1">
        <f t="shared" si="1"/>
        <v>4</v>
      </c>
      <c r="D6" s="1">
        <v>2.2000000000000002</v>
      </c>
      <c r="F6" s="1">
        <v>1.1000000000000001</v>
      </c>
      <c r="G6" s="1">
        <v>0.32500000000000001</v>
      </c>
      <c r="H6" s="1">
        <v>0.25700000000000001</v>
      </c>
      <c r="L6">
        <f t="shared" si="2"/>
        <v>3.8053790285931757</v>
      </c>
      <c r="M6" s="1">
        <f t="shared" si="3"/>
        <v>3.787732251133593E-2</v>
      </c>
      <c r="R6" s="1">
        <f t="shared" si="4"/>
        <v>5.0000000000000266E-2</v>
      </c>
      <c r="S6" s="1">
        <f t="shared" si="5"/>
        <v>8.0000000000000071E-3</v>
      </c>
      <c r="T6">
        <v>0.17399999999999999</v>
      </c>
      <c r="U6">
        <v>1.1830000000000001</v>
      </c>
      <c r="V6">
        <v>0.17499999999999999</v>
      </c>
      <c r="W6">
        <v>1.1890000000000001</v>
      </c>
    </row>
    <row r="7" spans="1:23" x14ac:dyDescent="0.3">
      <c r="A7" s="1">
        <f t="shared" si="6"/>
        <v>0.625</v>
      </c>
      <c r="B7" s="1">
        <f t="shared" si="0"/>
        <v>2.5</v>
      </c>
      <c r="C7" s="1">
        <f t="shared" si="1"/>
        <v>3.5</v>
      </c>
      <c r="D7" s="1">
        <v>2.21</v>
      </c>
      <c r="F7" s="1">
        <v>1.1499999999999999</v>
      </c>
      <c r="G7" s="1">
        <v>0.33100000000000002</v>
      </c>
      <c r="H7" s="1">
        <v>0.26100000000000001</v>
      </c>
      <c r="L7">
        <f t="shared" si="2"/>
        <v>3.6780328177757804</v>
      </c>
      <c r="M7" s="1">
        <f t="shared" si="3"/>
        <v>3.1695684205184226E-2</v>
      </c>
      <c r="R7" s="1">
        <f t="shared" si="4"/>
        <v>6.0000000000000053E-2</v>
      </c>
      <c r="S7" s="1">
        <f t="shared" si="5"/>
        <v>1.4000000000000012E-2</v>
      </c>
      <c r="T7">
        <v>0.17499999999999999</v>
      </c>
      <c r="U7">
        <v>1.194</v>
      </c>
      <c r="V7">
        <v>0.17499999999999999</v>
      </c>
      <c r="W7">
        <v>1.2</v>
      </c>
    </row>
    <row r="8" spans="1:23" x14ac:dyDescent="0.3">
      <c r="A8" s="1">
        <f t="shared" si="6"/>
        <v>0.75</v>
      </c>
      <c r="B8" s="1">
        <f t="shared" si="0"/>
        <v>3</v>
      </c>
      <c r="C8" s="1">
        <f t="shared" si="1"/>
        <v>3</v>
      </c>
      <c r="D8" s="1">
        <v>2.23</v>
      </c>
      <c r="F8" s="1">
        <v>1.1559999999999999</v>
      </c>
      <c r="G8" s="1">
        <v>0.34100000000000003</v>
      </c>
      <c r="H8" s="1">
        <v>0.27400000000000002</v>
      </c>
      <c r="L8">
        <f t="shared" si="2"/>
        <v>3.6627512724776929</v>
      </c>
      <c r="M8" s="1">
        <f t="shared" si="3"/>
        <v>0.4392392491708012</v>
      </c>
      <c r="R8" s="1">
        <f t="shared" si="4"/>
        <v>8.0000000000000071E-2</v>
      </c>
      <c r="S8" s="1">
        <f t="shared" si="5"/>
        <v>2.4000000000000021E-2</v>
      </c>
      <c r="T8">
        <v>0.183</v>
      </c>
      <c r="U8">
        <v>1.248</v>
      </c>
      <c r="V8">
        <v>0.183</v>
      </c>
      <c r="W8">
        <v>1.244</v>
      </c>
    </row>
    <row r="9" spans="1:23" x14ac:dyDescent="0.3">
      <c r="A9" s="1">
        <f t="shared" si="6"/>
        <v>0.875</v>
      </c>
      <c r="B9" s="1">
        <f t="shared" si="0"/>
        <v>3.5</v>
      </c>
      <c r="C9" s="1">
        <f t="shared" si="1"/>
        <v>2.5</v>
      </c>
      <c r="D9" s="1">
        <v>2.2610000000000001</v>
      </c>
      <c r="F9" s="1">
        <v>1.2410000000000001</v>
      </c>
      <c r="G9" s="1">
        <v>0.35599999999999998</v>
      </c>
      <c r="H9" s="1">
        <v>0.28799999999999998</v>
      </c>
      <c r="L9">
        <f t="shared" si="2"/>
        <v>3.4462627140881192</v>
      </c>
      <c r="M9" s="1">
        <f t="shared" si="3"/>
        <v>0.89541312407341367</v>
      </c>
      <c r="R9" s="1">
        <f t="shared" si="4"/>
        <v>0.11100000000000021</v>
      </c>
      <c r="S9" s="1">
        <f t="shared" si="5"/>
        <v>3.8999999999999979E-2</v>
      </c>
      <c r="T9">
        <v>0.192</v>
      </c>
      <c r="U9">
        <v>1.349</v>
      </c>
      <c r="V9">
        <v>0.191</v>
      </c>
      <c r="W9">
        <v>1.3009999999999999</v>
      </c>
    </row>
    <row r="10" spans="1:23" x14ac:dyDescent="0.3">
      <c r="A10" s="1">
        <f t="shared" si="6"/>
        <v>1</v>
      </c>
      <c r="B10" s="1">
        <f t="shared" si="0"/>
        <v>4</v>
      </c>
      <c r="C10" s="1">
        <f t="shared" si="1"/>
        <v>2</v>
      </c>
      <c r="D10" s="1">
        <v>2.2879999999999998</v>
      </c>
      <c r="F10" s="1">
        <v>1.3</v>
      </c>
      <c r="G10" s="1">
        <v>0.36399999999999999</v>
      </c>
      <c r="H10" s="1">
        <v>0.29499999999999998</v>
      </c>
      <c r="L10">
        <f t="shared" si="2"/>
        <v>3.2959941853235919</v>
      </c>
      <c r="M10" s="1">
        <f t="shared" si="3"/>
        <v>1.6796009283925606</v>
      </c>
      <c r="R10" s="1">
        <f t="shared" si="4"/>
        <v>0.1379999999999999</v>
      </c>
      <c r="S10" s="1">
        <f t="shared" si="5"/>
        <v>4.6999999999999986E-2</v>
      </c>
      <c r="T10">
        <v>0.19900000000000001</v>
      </c>
      <c r="U10">
        <v>1.41</v>
      </c>
      <c r="V10">
        <v>0.19600000000000001</v>
      </c>
      <c r="W10">
        <v>1.373</v>
      </c>
    </row>
    <row r="11" spans="1:23" x14ac:dyDescent="0.3">
      <c r="A11" s="1">
        <f t="shared" si="6"/>
        <v>1.125</v>
      </c>
      <c r="B11" s="1">
        <f t="shared" si="0"/>
        <v>4.5</v>
      </c>
      <c r="C11" s="1">
        <f t="shared" si="1"/>
        <v>1.5</v>
      </c>
      <c r="D11" s="1">
        <v>2.2999999999999998</v>
      </c>
      <c r="F11" s="1">
        <v>1.4</v>
      </c>
      <c r="G11" s="1">
        <v>0.38200000000000001</v>
      </c>
      <c r="H11" s="1">
        <v>0.3</v>
      </c>
      <c r="L11">
        <f t="shared" si="2"/>
        <v>3.0413017636888005</v>
      </c>
      <c r="M11" s="1">
        <f t="shared" si="3"/>
        <v>2.3756111267502069</v>
      </c>
      <c r="R11" s="1">
        <f t="shared" si="4"/>
        <v>0.14999999999999991</v>
      </c>
      <c r="S11" s="1">
        <f t="shared" si="5"/>
        <v>6.5000000000000002E-2</v>
      </c>
      <c r="T11">
        <v>0.20799999999999999</v>
      </c>
      <c r="U11">
        <v>1.52</v>
      </c>
      <c r="V11">
        <v>0.20699999999999999</v>
      </c>
      <c r="W11">
        <v>1.49</v>
      </c>
    </row>
    <row r="12" spans="1:23" x14ac:dyDescent="0.3">
      <c r="A12" s="1">
        <f t="shared" si="6"/>
        <v>1.25</v>
      </c>
      <c r="B12" s="1">
        <f t="shared" si="0"/>
        <v>5</v>
      </c>
      <c r="C12" s="1">
        <f t="shared" si="1"/>
        <v>1</v>
      </c>
      <c r="D12" s="1">
        <v>2.35</v>
      </c>
      <c r="F12" s="1">
        <v>1.55</v>
      </c>
      <c r="G12" s="1">
        <v>0.39400000000000002</v>
      </c>
      <c r="H12" s="1">
        <v>0.32</v>
      </c>
      <c r="L12">
        <f t="shared" si="2"/>
        <v>2.6592631312366124</v>
      </c>
      <c r="M12" s="1">
        <f t="shared" si="3"/>
        <v>2.7531541386811278</v>
      </c>
      <c r="R12" s="1">
        <f t="shared" si="4"/>
        <v>0.20000000000000018</v>
      </c>
      <c r="S12" s="1">
        <f t="shared" si="5"/>
        <v>7.7000000000000013E-2</v>
      </c>
      <c r="T12">
        <v>0.219</v>
      </c>
      <c r="U12">
        <v>1.669</v>
      </c>
      <c r="V12">
        <v>0.21</v>
      </c>
      <c r="W12">
        <v>1.597</v>
      </c>
    </row>
    <row r="13" spans="1:23" x14ac:dyDescent="0.3">
      <c r="A13" s="1">
        <f t="shared" si="6"/>
        <v>1.375</v>
      </c>
      <c r="B13" s="1">
        <f t="shared" si="0"/>
        <v>5.5</v>
      </c>
      <c r="C13" s="1">
        <f t="shared" si="1"/>
        <v>0.5</v>
      </c>
      <c r="D13" s="1">
        <v>2.39</v>
      </c>
      <c r="F13" s="1">
        <v>1.835</v>
      </c>
      <c r="G13" s="1">
        <v>0.41499999999999998</v>
      </c>
      <c r="H13" s="1">
        <v>0.34</v>
      </c>
      <c r="L13">
        <f t="shared" si="2"/>
        <v>1.9333897295774554</v>
      </c>
      <c r="M13" s="1">
        <f t="shared" si="3"/>
        <v>2.0546061168581304</v>
      </c>
      <c r="R13" s="1">
        <f t="shared" si="4"/>
        <v>0.24000000000000021</v>
      </c>
      <c r="S13" s="1">
        <f t="shared" si="5"/>
        <v>9.7999999999999976E-2</v>
      </c>
      <c r="T13">
        <v>0.23699999999999999</v>
      </c>
      <c r="U13">
        <v>1.907</v>
      </c>
      <c r="V13">
        <v>0.22</v>
      </c>
      <c r="W13">
        <v>1.78</v>
      </c>
    </row>
    <row r="14" spans="1:23" x14ac:dyDescent="0.3">
      <c r="A14" s="1">
        <f t="shared" si="6"/>
        <v>1.5</v>
      </c>
      <c r="B14" s="1">
        <f t="shared" si="0"/>
        <v>6</v>
      </c>
      <c r="C14" s="1">
        <f t="shared" si="1"/>
        <v>0</v>
      </c>
      <c r="D14" s="1">
        <v>2.57</v>
      </c>
      <c r="F14" s="1">
        <v>2.0099999999999998</v>
      </c>
      <c r="G14" s="1">
        <v>0.43099999999999999</v>
      </c>
      <c r="H14" s="1">
        <v>0.35499999999999998</v>
      </c>
      <c r="L14">
        <f t="shared" si="2"/>
        <v>1.4876779917165699</v>
      </c>
      <c r="M14" s="1">
        <f t="shared" si="3"/>
        <v>2.2131858070378465</v>
      </c>
      <c r="R14" s="1">
        <f t="shared" si="4"/>
        <v>0.41999999999999993</v>
      </c>
      <c r="S14" s="1">
        <f t="shared" si="5"/>
        <v>0.11399999999999999</v>
      </c>
      <c r="T14">
        <v>0.252</v>
      </c>
      <c r="U14">
        <v>2.1240000000000001</v>
      </c>
      <c r="V14">
        <v>0.24299999999999999</v>
      </c>
      <c r="W14">
        <v>1.9570000000000001</v>
      </c>
    </row>
    <row r="15" spans="1:23" x14ac:dyDescent="0.3">
      <c r="A15" s="1">
        <f t="shared" si="6"/>
        <v>1.625</v>
      </c>
      <c r="B15" s="1">
        <f t="shared" si="0"/>
        <v>6.5</v>
      </c>
      <c r="C15" s="1">
        <f t="shared" si="1"/>
        <v>-0.5</v>
      </c>
      <c r="D15" s="1">
        <v>2.6</v>
      </c>
      <c r="F15" s="1">
        <v>2.2280000000000002</v>
      </c>
      <c r="G15" s="1">
        <v>0.45600000000000002</v>
      </c>
      <c r="H15" s="1">
        <v>0.372</v>
      </c>
      <c r="L15">
        <f t="shared" si="2"/>
        <v>0.93244851255272287</v>
      </c>
      <c r="M15" s="1">
        <f t="shared" si="3"/>
        <v>2.0519087411145081</v>
      </c>
      <c r="R15" s="1">
        <f t="shared" si="4"/>
        <v>0.45000000000000018</v>
      </c>
      <c r="S15" s="1">
        <f t="shared" si="5"/>
        <v>0.13900000000000001</v>
      </c>
      <c r="T15">
        <v>0.27</v>
      </c>
      <c r="U15">
        <v>2.387</v>
      </c>
      <c r="V15">
        <v>0.25600000000000001</v>
      </c>
      <c r="W15">
        <v>2.1459999999999999</v>
      </c>
    </row>
    <row r="16" spans="1:23" x14ac:dyDescent="0.3">
      <c r="A16" s="1">
        <f t="shared" si="6"/>
        <v>1.75</v>
      </c>
      <c r="B16" s="1">
        <f t="shared" si="0"/>
        <v>7</v>
      </c>
      <c r="C16" s="1">
        <f t="shared" si="1"/>
        <v>-1</v>
      </c>
      <c r="D16" s="1">
        <v>2.7</v>
      </c>
      <c r="F16" s="1">
        <v>2.6779999999999999</v>
      </c>
      <c r="G16" s="1">
        <v>0.48799999999999999</v>
      </c>
      <c r="H16" s="1">
        <v>0.40200000000000002</v>
      </c>
      <c r="L16">
        <f t="shared" si="2"/>
        <v>-0.2136673848038404</v>
      </c>
      <c r="M16" s="1">
        <f t="shared" si="3"/>
        <v>0.61831898172123156</v>
      </c>
      <c r="R16" s="1">
        <f t="shared" si="4"/>
        <v>0.55000000000000027</v>
      </c>
      <c r="S16" s="1">
        <f t="shared" si="5"/>
        <v>0.17099999999999999</v>
      </c>
      <c r="T16">
        <v>0.30499999999999999</v>
      </c>
      <c r="U16">
        <v>2.9929999999999999</v>
      </c>
      <c r="V16">
        <v>0.28799999999999998</v>
      </c>
      <c r="W16">
        <v>2.58</v>
      </c>
    </row>
    <row r="17" spans="1:23" x14ac:dyDescent="0.3">
      <c r="A17" s="1">
        <f t="shared" si="6"/>
        <v>1.875</v>
      </c>
      <c r="B17" s="1">
        <f t="shared" si="0"/>
        <v>7.5</v>
      </c>
      <c r="C17" s="1">
        <f t="shared" si="1"/>
        <v>-1.5</v>
      </c>
      <c r="D17" s="1">
        <v>3.09</v>
      </c>
      <c r="F17" s="1">
        <v>3.6709999999999998</v>
      </c>
      <c r="G17" s="1">
        <v>0.53</v>
      </c>
      <c r="H17" s="1">
        <v>0.46</v>
      </c>
      <c r="L17">
        <f t="shared" si="2"/>
        <v>-2.7427631316373233</v>
      </c>
      <c r="M17" s="1">
        <f t="shared" si="3"/>
        <v>1.544460201357007</v>
      </c>
      <c r="R17" s="1">
        <f t="shared" si="4"/>
        <v>0.94</v>
      </c>
      <c r="S17" s="1">
        <f t="shared" si="5"/>
        <v>0.21300000000000002</v>
      </c>
      <c r="T17">
        <v>0.35</v>
      </c>
      <c r="U17">
        <v>3.6</v>
      </c>
      <c r="V17">
        <v>0.32100000000000001</v>
      </c>
      <c r="W17">
        <v>3.11</v>
      </c>
    </row>
    <row r="18" spans="1:23" x14ac:dyDescent="0.3">
      <c r="A18" s="1">
        <v>1.75</v>
      </c>
      <c r="B18" s="1">
        <f t="shared" si="0"/>
        <v>7</v>
      </c>
      <c r="C18" s="1">
        <f t="shared" si="1"/>
        <v>-1</v>
      </c>
      <c r="D18" s="1">
        <v>3.05</v>
      </c>
      <c r="F18" s="1">
        <v>3.73</v>
      </c>
      <c r="G18" s="1">
        <v>0.53400000000000003</v>
      </c>
      <c r="H18" s="1">
        <v>0.46600000000000003</v>
      </c>
      <c r="L18">
        <f t="shared" si="2"/>
        <v>-2.8930316604018511</v>
      </c>
      <c r="M18" s="1">
        <f t="shared" si="3"/>
        <v>3.5835688672837893</v>
      </c>
      <c r="R18" s="1">
        <f t="shared" si="4"/>
        <v>0.89999999999999991</v>
      </c>
      <c r="S18" s="1">
        <f t="shared" si="5"/>
        <v>0.21700000000000003</v>
      </c>
      <c r="T18">
        <v>0.34</v>
      </c>
      <c r="U18">
        <v>3.6</v>
      </c>
      <c r="V18">
        <v>0.31900000000000001</v>
      </c>
      <c r="W18">
        <v>3.0819999999999999</v>
      </c>
    </row>
    <row r="19" spans="1:23" x14ac:dyDescent="0.3">
      <c r="A19" s="1">
        <f xml:space="preserve"> A18 - 1/8</f>
        <v>1.625</v>
      </c>
      <c r="B19" s="1">
        <f t="shared" si="0"/>
        <v>6.5</v>
      </c>
      <c r="C19" s="1">
        <f t="shared" si="1"/>
        <v>-0.5</v>
      </c>
      <c r="D19" s="1">
        <v>2.75</v>
      </c>
      <c r="F19" s="1">
        <v>3.03</v>
      </c>
      <c r="G19" s="1">
        <v>0.51</v>
      </c>
      <c r="H19" s="1">
        <v>0.42</v>
      </c>
      <c r="L19">
        <f t="shared" si="2"/>
        <v>-1.1101847089583075</v>
      </c>
      <c r="M19" s="1">
        <f t="shared" si="3"/>
        <v>0.3723253790465344</v>
      </c>
      <c r="R19" s="1">
        <f t="shared" si="4"/>
        <v>0.60000000000000009</v>
      </c>
      <c r="S19" s="1">
        <f t="shared" si="5"/>
        <v>0.193</v>
      </c>
      <c r="T19">
        <v>0.32400000000000001</v>
      </c>
      <c r="U19">
        <v>3.2</v>
      </c>
      <c r="V19">
        <v>0.31</v>
      </c>
      <c r="W19">
        <v>2.93</v>
      </c>
    </row>
    <row r="20" spans="1:23" x14ac:dyDescent="0.3">
      <c r="A20" s="1">
        <f t="shared" ref="A20:A32" si="7" xml:space="preserve"> A19 - 1/8</f>
        <v>1.5</v>
      </c>
      <c r="B20" s="1">
        <f t="shared" si="0"/>
        <v>6</v>
      </c>
      <c r="C20" s="1">
        <f t="shared" si="1"/>
        <v>0</v>
      </c>
      <c r="D20" s="1">
        <v>2.7</v>
      </c>
      <c r="F20" s="1">
        <v>2.57</v>
      </c>
      <c r="G20" s="1">
        <v>0.48</v>
      </c>
      <c r="H20" s="1">
        <v>0.39400000000000002</v>
      </c>
      <c r="L20">
        <f t="shared" si="2"/>
        <v>6.1400430561735497E-2</v>
      </c>
      <c r="M20" s="1">
        <f t="shared" si="3"/>
        <v>3.7700128731665023E-3</v>
      </c>
      <c r="R20" s="1">
        <f t="shared" si="4"/>
        <v>0.55000000000000027</v>
      </c>
      <c r="S20" s="1">
        <f t="shared" si="5"/>
        <v>0.16299999999999998</v>
      </c>
      <c r="T20">
        <v>0.3</v>
      </c>
      <c r="U20">
        <v>2.83</v>
      </c>
      <c r="V20">
        <v>0.28860000000000002</v>
      </c>
      <c r="W20">
        <v>2.5760000000000001</v>
      </c>
    </row>
    <row r="21" spans="1:23" x14ac:dyDescent="0.3">
      <c r="A21" s="1">
        <f t="shared" si="7"/>
        <v>1.375</v>
      </c>
      <c r="B21" s="1">
        <f t="shared" si="0"/>
        <v>5.5</v>
      </c>
      <c r="C21" s="1">
        <f t="shared" si="1"/>
        <v>0.5</v>
      </c>
      <c r="D21" s="1">
        <v>2.6</v>
      </c>
      <c r="F21" s="1">
        <v>2.23</v>
      </c>
      <c r="G21" s="1">
        <v>0.45700000000000002</v>
      </c>
      <c r="H21" s="1">
        <v>0.37</v>
      </c>
      <c r="L21">
        <f t="shared" si="2"/>
        <v>0.92735466412002765</v>
      </c>
      <c r="M21" s="1">
        <f t="shared" si="3"/>
        <v>0.18263200894514164</v>
      </c>
      <c r="R21" s="1">
        <f t="shared" si="4"/>
        <v>0.45000000000000018</v>
      </c>
      <c r="S21" s="1">
        <f t="shared" si="5"/>
        <v>0.14000000000000001</v>
      </c>
      <c r="T21">
        <v>0.27100000000000002</v>
      </c>
      <c r="U21">
        <v>2.35</v>
      </c>
      <c r="V21">
        <v>0.26300000000000001</v>
      </c>
      <c r="W21">
        <v>2.2469999999999999</v>
      </c>
    </row>
    <row r="22" spans="1:23" x14ac:dyDescent="0.3">
      <c r="A22" s="1">
        <f t="shared" si="7"/>
        <v>1.25</v>
      </c>
      <c r="B22" s="1">
        <f t="shared" si="0"/>
        <v>5</v>
      </c>
      <c r="C22" s="1">
        <f t="shared" si="1"/>
        <v>1</v>
      </c>
      <c r="D22" s="1">
        <v>2.4</v>
      </c>
      <c r="F22" s="1">
        <v>1.8819999999999999</v>
      </c>
      <c r="G22" s="1">
        <v>0.43</v>
      </c>
      <c r="H22" s="1">
        <v>0.34200000000000003</v>
      </c>
      <c r="L22">
        <f t="shared" si="2"/>
        <v>1.8136842914091034</v>
      </c>
      <c r="M22" s="1">
        <f t="shared" si="3"/>
        <v>0.66208212608593464</v>
      </c>
      <c r="R22" s="1">
        <f t="shared" si="4"/>
        <v>0.25</v>
      </c>
      <c r="S22" s="1">
        <f t="shared" si="5"/>
        <v>0.11299999999999999</v>
      </c>
      <c r="T22">
        <v>0.25</v>
      </c>
      <c r="U22">
        <v>2.0699999999999998</v>
      </c>
      <c r="V22">
        <v>0.24099999999999999</v>
      </c>
      <c r="W22">
        <v>1.92</v>
      </c>
    </row>
    <row r="23" spans="1:23" x14ac:dyDescent="0.3">
      <c r="A23" s="1">
        <f t="shared" si="7"/>
        <v>1.125</v>
      </c>
      <c r="B23" s="1">
        <f t="shared" si="0"/>
        <v>4.5</v>
      </c>
      <c r="C23" s="1">
        <f t="shared" si="1"/>
        <v>1.5</v>
      </c>
      <c r="D23" s="1">
        <v>2.34</v>
      </c>
      <c r="F23" s="1">
        <v>1.627</v>
      </c>
      <c r="G23" s="1">
        <v>0.4</v>
      </c>
      <c r="H23" s="1">
        <v>0.32</v>
      </c>
      <c r="L23">
        <f t="shared" si="2"/>
        <v>2.4631499665778227</v>
      </c>
      <c r="M23" s="1">
        <f t="shared" si="3"/>
        <v>0.92765785811886103</v>
      </c>
      <c r="R23" s="1">
        <f t="shared" si="4"/>
        <v>0.18999999999999995</v>
      </c>
      <c r="S23" s="1">
        <f t="shared" si="5"/>
        <v>8.3000000000000018E-2</v>
      </c>
      <c r="T23">
        <v>0.22800000000000001</v>
      </c>
      <c r="U23">
        <v>1.774</v>
      </c>
      <c r="V23">
        <v>0.223</v>
      </c>
      <c r="W23">
        <v>1.6990000000000001</v>
      </c>
    </row>
    <row r="24" spans="1:23" x14ac:dyDescent="0.3">
      <c r="A24" s="1">
        <f t="shared" si="7"/>
        <v>1</v>
      </c>
      <c r="B24" s="1">
        <f t="shared" si="0"/>
        <v>4</v>
      </c>
      <c r="C24" s="1">
        <f t="shared" si="1"/>
        <v>2</v>
      </c>
      <c r="D24" s="1">
        <v>2.3199999999999998</v>
      </c>
      <c r="F24" s="1">
        <v>1.484</v>
      </c>
      <c r="G24" s="1">
        <v>0.38</v>
      </c>
      <c r="H24" s="1">
        <v>0.311</v>
      </c>
      <c r="L24">
        <f t="shared" si="2"/>
        <v>2.8273601295155752</v>
      </c>
      <c r="M24" s="1">
        <f t="shared" si="3"/>
        <v>0.68452478391202942</v>
      </c>
      <c r="R24" s="1">
        <f t="shared" si="4"/>
        <v>0.16999999999999993</v>
      </c>
      <c r="S24" s="1">
        <f t="shared" si="5"/>
        <v>6.3E-2</v>
      </c>
      <c r="T24">
        <v>0.21</v>
      </c>
      <c r="U24">
        <v>1.63</v>
      </c>
      <c r="V24">
        <v>0.21299999999999999</v>
      </c>
      <c r="W24">
        <v>1.5629999999999999</v>
      </c>
    </row>
    <row r="25" spans="1:23" x14ac:dyDescent="0.3">
      <c r="A25" s="1">
        <f t="shared" si="7"/>
        <v>0.875</v>
      </c>
      <c r="B25" s="1">
        <f t="shared" si="0"/>
        <v>3.5</v>
      </c>
      <c r="C25" s="1">
        <f t="shared" si="1"/>
        <v>2.5</v>
      </c>
      <c r="D25" s="1">
        <v>2.2999999999999998</v>
      </c>
      <c r="F25" s="1">
        <v>1.38</v>
      </c>
      <c r="G25" s="1">
        <v>0.379</v>
      </c>
      <c r="H25" s="1">
        <v>0.3</v>
      </c>
      <c r="L25">
        <f t="shared" si="2"/>
        <v>3.0922402480157589</v>
      </c>
      <c r="M25" s="1">
        <f t="shared" si="3"/>
        <v>0.35074851136976765</v>
      </c>
      <c r="R25" s="1">
        <f t="shared" si="4"/>
        <v>0.14999999999999991</v>
      </c>
      <c r="S25" s="1">
        <f t="shared" si="5"/>
        <v>6.2E-2</v>
      </c>
      <c r="T25">
        <v>0.2</v>
      </c>
      <c r="U25">
        <v>1.49</v>
      </c>
      <c r="V25">
        <v>0.2</v>
      </c>
      <c r="W25">
        <v>1.4770000000000001</v>
      </c>
    </row>
    <row r="26" spans="1:23" x14ac:dyDescent="0.3">
      <c r="A26" s="1">
        <f t="shared" si="7"/>
        <v>0.75</v>
      </c>
      <c r="B26" s="1">
        <f t="shared" si="0"/>
        <v>3</v>
      </c>
      <c r="C26" s="1">
        <f t="shared" si="1"/>
        <v>3</v>
      </c>
      <c r="D26" s="1">
        <v>2.2599999999999998</v>
      </c>
      <c r="F26" s="1">
        <v>1.27</v>
      </c>
      <c r="G26" s="1">
        <v>0.36099999999999999</v>
      </c>
      <c r="H26" s="1">
        <v>0.29199999999999998</v>
      </c>
      <c r="L26">
        <f t="shared" si="2"/>
        <v>3.3724019118140296</v>
      </c>
      <c r="M26" s="1">
        <f t="shared" si="3"/>
        <v>0.13868318392274429</v>
      </c>
      <c r="R26" s="1">
        <f t="shared" si="4"/>
        <v>0.10999999999999988</v>
      </c>
      <c r="S26" s="1">
        <f t="shared" si="5"/>
        <v>4.3999999999999984E-2</v>
      </c>
      <c r="T26">
        <v>0.19600000000000001</v>
      </c>
      <c r="U26">
        <v>1.37</v>
      </c>
      <c r="V26">
        <v>0.19600000000000001</v>
      </c>
      <c r="W26">
        <v>1.36</v>
      </c>
    </row>
    <row r="27" spans="1:23" x14ac:dyDescent="0.3">
      <c r="A27" s="1">
        <f t="shared" si="7"/>
        <v>0.625</v>
      </c>
      <c r="B27" s="1">
        <f t="shared" si="0"/>
        <v>2.5</v>
      </c>
      <c r="C27" s="1">
        <f t="shared" si="1"/>
        <v>3.5</v>
      </c>
      <c r="D27" s="1">
        <v>2.23</v>
      </c>
      <c r="F27" s="1">
        <v>1.1879999999999999</v>
      </c>
      <c r="G27" s="1">
        <v>0.34499999999999997</v>
      </c>
      <c r="H27" s="1">
        <v>0.28100000000000003</v>
      </c>
      <c r="L27">
        <f t="shared" si="2"/>
        <v>3.5812496975545591</v>
      </c>
      <c r="M27" s="1">
        <f t="shared" si="3"/>
        <v>6.6015133527073319E-3</v>
      </c>
      <c r="R27" s="1">
        <f t="shared" si="4"/>
        <v>8.0000000000000071E-2</v>
      </c>
      <c r="S27" s="1">
        <f t="shared" si="5"/>
        <v>2.7999999999999969E-2</v>
      </c>
      <c r="T27">
        <v>0.185</v>
      </c>
      <c r="U27">
        <v>1.26</v>
      </c>
      <c r="V27">
        <v>0.185</v>
      </c>
      <c r="W27">
        <v>1.26</v>
      </c>
    </row>
    <row r="28" spans="1:23" x14ac:dyDescent="0.3">
      <c r="A28" s="1">
        <f t="shared" si="7"/>
        <v>0.5</v>
      </c>
      <c r="B28" s="1">
        <f t="shared" si="0"/>
        <v>2</v>
      </c>
      <c r="C28" s="1">
        <f t="shared" si="1"/>
        <v>4</v>
      </c>
      <c r="D28" s="1">
        <v>2.2189999999999999</v>
      </c>
      <c r="F28" s="1">
        <v>1.1439999999999999</v>
      </c>
      <c r="G28" s="1">
        <v>0.33800000000000002</v>
      </c>
      <c r="H28" s="1">
        <v>0.26</v>
      </c>
      <c r="L28">
        <f t="shared" si="2"/>
        <v>3.6933143630738678</v>
      </c>
      <c r="M28" s="1">
        <f t="shared" si="3"/>
        <v>9.4056079896787353E-2</v>
      </c>
      <c r="R28" s="1">
        <f t="shared" si="4"/>
        <v>6.899999999999995E-2</v>
      </c>
      <c r="S28" s="1">
        <f t="shared" si="5"/>
        <v>2.1000000000000019E-2</v>
      </c>
      <c r="T28">
        <v>0.18</v>
      </c>
      <c r="U28">
        <v>1.2190000000000001</v>
      </c>
      <c r="V28">
        <v>0.183</v>
      </c>
      <c r="W28">
        <v>1.2270000000000001</v>
      </c>
    </row>
    <row r="29" spans="1:23" x14ac:dyDescent="0.3">
      <c r="A29" s="1">
        <f t="shared" si="7"/>
        <v>0.375</v>
      </c>
      <c r="B29" s="1">
        <f t="shared" si="0"/>
        <v>1.5</v>
      </c>
      <c r="C29" s="1">
        <f t="shared" si="1"/>
        <v>4.5</v>
      </c>
      <c r="D29" s="1">
        <v>2.2000000000000002</v>
      </c>
      <c r="F29" s="1">
        <v>1.125</v>
      </c>
      <c r="G29" s="1">
        <v>0.33</v>
      </c>
      <c r="H29" s="1">
        <v>0.26</v>
      </c>
      <c r="L29">
        <f t="shared" si="2"/>
        <v>3.7417059231844783</v>
      </c>
      <c r="M29" s="1">
        <f t="shared" si="3"/>
        <v>0.5750099069335044</v>
      </c>
      <c r="R29" s="1">
        <f t="shared" si="4"/>
        <v>5.0000000000000266E-2</v>
      </c>
      <c r="S29" s="1">
        <f t="shared" si="5"/>
        <v>1.3000000000000012E-2</v>
      </c>
      <c r="T29">
        <v>0.17699999999999999</v>
      </c>
      <c r="U29">
        <v>1.2</v>
      </c>
      <c r="V29">
        <v>0.17699999999999999</v>
      </c>
      <c r="W29">
        <v>1.2</v>
      </c>
    </row>
    <row r="30" spans="1:23" x14ac:dyDescent="0.3">
      <c r="A30" s="1">
        <f t="shared" si="7"/>
        <v>0.25</v>
      </c>
      <c r="B30" s="1">
        <f t="shared" si="0"/>
        <v>1</v>
      </c>
      <c r="C30" s="1">
        <f t="shared" si="1"/>
        <v>5</v>
      </c>
      <c r="D30" s="1">
        <v>2.1800000000000002</v>
      </c>
      <c r="F30" s="1">
        <v>1.1000000000000001</v>
      </c>
      <c r="G30" s="1">
        <v>0.32500000000000001</v>
      </c>
      <c r="H30" s="1">
        <v>0.253</v>
      </c>
      <c r="L30">
        <f t="shared" si="2"/>
        <v>3.8053790285931757</v>
      </c>
      <c r="M30" s="1">
        <f t="shared" si="3"/>
        <v>1.4271192653249847</v>
      </c>
      <c r="R30" s="1">
        <f t="shared" si="4"/>
        <v>3.0000000000000249E-2</v>
      </c>
      <c r="S30" s="1">
        <f t="shared" si="5"/>
        <v>8.0000000000000071E-3</v>
      </c>
      <c r="T30">
        <v>0.17499999999999999</v>
      </c>
      <c r="U30">
        <v>1.1850000000000001</v>
      </c>
      <c r="V30">
        <v>0.17499999999999999</v>
      </c>
      <c r="W30">
        <v>1.19</v>
      </c>
    </row>
    <row r="31" spans="1:23" x14ac:dyDescent="0.3">
      <c r="A31" s="1">
        <f t="shared" si="7"/>
        <v>0.125</v>
      </c>
      <c r="B31" s="1">
        <f t="shared" si="0"/>
        <v>0.5</v>
      </c>
      <c r="C31" s="1">
        <f t="shared" si="1"/>
        <v>5.5</v>
      </c>
      <c r="D31" s="1">
        <v>2.16</v>
      </c>
      <c r="F31" s="1">
        <v>1.0900000000000001</v>
      </c>
      <c r="G31" s="1">
        <v>0.31900000000000001</v>
      </c>
      <c r="H31" s="1">
        <v>0.246</v>
      </c>
      <c r="L31">
        <f t="shared" si="2"/>
        <v>3.8308482707566549</v>
      </c>
      <c r="M31" s="1">
        <f t="shared" si="3"/>
        <v>2.7860674952360491</v>
      </c>
      <c r="R31" s="1">
        <f t="shared" si="4"/>
        <v>1.0000000000000231E-2</v>
      </c>
      <c r="S31" s="1">
        <f t="shared" si="5"/>
        <v>2.0000000000000018E-3</v>
      </c>
      <c r="T31">
        <v>0.17</v>
      </c>
      <c r="U31">
        <v>1.175</v>
      </c>
      <c r="V31">
        <v>0.17299999999999999</v>
      </c>
      <c r="W31">
        <v>1.1830000000000001</v>
      </c>
    </row>
    <row r="32" spans="1:23" x14ac:dyDescent="0.3">
      <c r="A32" s="1">
        <f t="shared" si="7"/>
        <v>0</v>
      </c>
      <c r="B32" s="1">
        <f t="shared" si="0"/>
        <v>0</v>
      </c>
      <c r="C32" s="1">
        <f t="shared" si="1"/>
        <v>6</v>
      </c>
      <c r="D32" s="1">
        <v>2.1480000000000001</v>
      </c>
      <c r="F32" s="1">
        <v>1.08</v>
      </c>
      <c r="H32" s="1">
        <v>0.24</v>
      </c>
      <c r="L32">
        <f t="shared" si="2"/>
        <v>3.8563175129201341</v>
      </c>
      <c r="M32" s="1">
        <f t="shared" si="3"/>
        <v>4.5953746054129194</v>
      </c>
      <c r="R32" s="1">
        <f t="shared" si="4"/>
        <v>-1.9999999999997797E-3</v>
      </c>
      <c r="S32" s="1"/>
      <c r="T32">
        <v>0.17</v>
      </c>
      <c r="U32">
        <v>1.1599999999999999</v>
      </c>
      <c r="V32">
        <v>0.17</v>
      </c>
      <c r="W32">
        <v>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CHABERT Lucas</dc:creator>
  <cp:lastModifiedBy>CHABERT Lucas</cp:lastModifiedBy>
  <dcterms:created xsi:type="dcterms:W3CDTF">2026-06-12T11:35:04Z</dcterms:created>
  <dcterms:modified xsi:type="dcterms:W3CDTF">2026-06-22T11:10:41Z</dcterms:modified>
</cp:coreProperties>
</file>